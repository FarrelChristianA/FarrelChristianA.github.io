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TFF" sheetId="1" state="visible" r:id="rId1"/>
    <sheet xmlns:r="http://schemas.openxmlformats.org/officeDocument/2006/relationships" name="Net_Positions" sheetId="2" state="visible" r:id="rId2"/>
    <sheet xmlns:r="http://schemas.openxmlformats.org/officeDocument/2006/relationships" name="Summary"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5">
    <numFmt numFmtId="164" formatCode="yyyy-mm-dd h:mm:ss"/>
    <numFmt numFmtId="165" formatCode="dd mmm yyyy"/>
    <numFmt numFmtId="166" formatCode="#,##0;-#,##0;0"/>
    <numFmt numFmtId="167" formatCode="0.0%;-0.0%;0.0%"/>
    <numFmt numFmtId="168" formatCode="0.00%;-0.00%;0.00%"/>
  </numFmts>
  <fonts count="7">
    <font>
      <name val="Calibri"/>
      <family val="2"/>
      <color theme="1"/>
      <sz val="11"/>
      <scheme val="minor"/>
    </font>
    <font>
      <name val="Arial"/>
      <b val="1"/>
      <sz val="13"/>
    </font>
    <font>
      <name val="Arial"/>
      <i val="1"/>
      <color rgb="00555555"/>
      <sz val="9"/>
    </font>
    <font>
      <name val="Arial"/>
      <b val="1"/>
      <color rgb="00FFFFFF"/>
      <sz val="10"/>
    </font>
    <font>
      <name val="Arial"/>
      <color rgb="000000FF"/>
      <sz val="10"/>
    </font>
    <font>
      <name val="Arial"/>
      <sz val="10"/>
    </font>
    <font>
      <name val="Arial"/>
      <b val="1"/>
      <sz val="10"/>
    </font>
  </fonts>
  <fills count="4">
    <fill>
      <patternFill/>
    </fill>
    <fill>
      <patternFill patternType="gray125"/>
    </fill>
    <fill>
      <patternFill patternType="solid">
        <fgColor rgb="000F9488"/>
      </patternFill>
    </fill>
    <fill>
      <patternFill patternType="solid">
        <fgColor rgb="00D7F5F0"/>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165" fontId="4" fillId="0" borderId="0" pivotButton="0" quotePrefix="0" xfId="0"/>
    <xf numFmtId="166" fontId="4" fillId="0" borderId="0" pivotButton="0" quotePrefix="0" xfId="0"/>
    <xf numFmtId="165" fontId="5" fillId="0" borderId="0" pivotButton="0" quotePrefix="0" xfId="0"/>
    <xf numFmtId="166" fontId="5" fillId="0" borderId="0" pivotButton="0" quotePrefix="0" xfId="0"/>
    <xf numFmtId="0" fontId="5" fillId="0" borderId="0" pivotButton="0" quotePrefix="0" xfId="0"/>
    <xf numFmtId="167" fontId="5" fillId="0" borderId="0" pivotButton="0" quotePrefix="0" xfId="0"/>
    <xf numFmtId="165" fontId="5" fillId="3" borderId="0" pivotButton="0" quotePrefix="0" xfId="0"/>
    <xf numFmtId="166" fontId="5" fillId="3" borderId="0" pivotButton="0" quotePrefix="0" xfId="0"/>
    <xf numFmtId="167" fontId="5" fillId="3" borderId="0" pivotButton="0" quotePrefix="0" xfId="0"/>
    <xf numFmtId="0" fontId="6" fillId="0" borderId="0" pivotButton="0" quotePrefix="0" xfId="0"/>
    <xf numFmtId="168" fontId="5"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Raw CFTC data, euro FX futures, positions as of each Tuesday</t>
        </is>
      </c>
    </row>
    <row r="2">
      <c r="A2" s="2" t="inlineStr">
        <is>
          <t>Source: CFTC Public Reporting Environment, Traders in Financial Futures, Futures Only, EURO FX - CHICAGO MERCANTILE EXCHANGE (code 099741, contract of EUR 125,000). https://publicreporting.cftc.gov/Commitments-of-Traders/Traders-in-Financial-Futures-Futures-Only/gpe5-46if . Accessed 19 Oct 2026.</t>
        </is>
      </c>
    </row>
    <row r="3">
      <c r="A3" s="2" t="inlineStr">
        <is>
          <t>Blue = value copied from the CFTC file. Long and short are outright positions; spreading positions are not included. Nonreportable entries for 16 Jun and 15 Sep are as published and look unusual; they are not used in the chart.</t>
        </is>
      </c>
    </row>
    <row r="4" ht="42" customHeight="1">
      <c r="A4" s="3" t="inlineStr">
        <is>
          <t>Positions as of (Tuesday)</t>
        </is>
      </c>
      <c r="B4" s="3" t="inlineStr">
        <is>
          <t>Open interest</t>
        </is>
      </c>
      <c r="C4" s="3" t="inlineStr">
        <is>
          <t>Dealer long</t>
        </is>
      </c>
      <c r="D4" s="3" t="inlineStr">
        <is>
          <t>Dealer short</t>
        </is>
      </c>
      <c r="E4" s="3" t="inlineStr">
        <is>
          <t>Asset manager long</t>
        </is>
      </c>
      <c r="F4" s="3" t="inlineStr">
        <is>
          <t>Asset manager short</t>
        </is>
      </c>
      <c r="G4" s="3" t="inlineStr">
        <is>
          <t>Leveraged funds long</t>
        </is>
      </c>
      <c r="H4" s="3" t="inlineStr">
        <is>
          <t>Leveraged funds short</t>
        </is>
      </c>
      <c r="I4" s="3" t="inlineStr">
        <is>
          <t>Other reportable long</t>
        </is>
      </c>
      <c r="J4" s="3" t="inlineStr">
        <is>
          <t>Other reportable short</t>
        </is>
      </c>
      <c r="K4" s="3" t="inlineStr">
        <is>
          <t>Nonreportable long</t>
        </is>
      </c>
      <c r="L4" s="3" t="inlineStr">
        <is>
          <t>Nonreportable short</t>
        </is>
      </c>
    </row>
    <row r="5">
      <c r="A5" s="4" t="n">
        <v>46168</v>
      </c>
      <c r="B5" s="5" t="n">
        <v>824224</v>
      </c>
      <c r="C5" s="5" t="n">
        <v>46277</v>
      </c>
      <c r="D5" s="5" t="n">
        <v>368386</v>
      </c>
      <c r="E5" s="5" t="n">
        <v>439116</v>
      </c>
      <c r="F5" s="5" t="n">
        <v>169226</v>
      </c>
      <c r="G5" s="5" t="n">
        <v>110985</v>
      </c>
      <c r="H5" s="5" t="n">
        <v>103689</v>
      </c>
      <c r="I5" s="5" t="n">
        <v>24395</v>
      </c>
      <c r="J5" s="5" t="n">
        <v>15570</v>
      </c>
      <c r="K5" s="5" t="n">
        <v>88813</v>
      </c>
      <c r="L5" s="5" t="n">
        <v>52715</v>
      </c>
    </row>
    <row r="6">
      <c r="A6" s="4" t="n">
        <v>46175</v>
      </c>
      <c r="B6" s="5" t="n">
        <v>842424</v>
      </c>
      <c r="C6" s="5" t="n">
        <v>45480</v>
      </c>
      <c r="D6" s="5" t="n">
        <v>374951</v>
      </c>
      <c r="E6" s="5" t="n">
        <v>454078</v>
      </c>
      <c r="F6" s="5" t="n">
        <v>168157</v>
      </c>
      <c r="G6" s="5" t="n">
        <v>109583</v>
      </c>
      <c r="H6" s="5" t="n">
        <v>97556</v>
      </c>
      <c r="I6" s="5" t="n">
        <v>25388</v>
      </c>
      <c r="J6" s="5" t="n">
        <v>14395</v>
      </c>
      <c r="K6" s="5" t="n">
        <v>86539</v>
      </c>
      <c r="L6" s="5" t="n">
        <v>66009</v>
      </c>
    </row>
    <row r="7">
      <c r="A7" s="4" t="n">
        <v>46182</v>
      </c>
      <c r="B7" s="5" t="n">
        <v>871507</v>
      </c>
      <c r="C7" s="5" t="n">
        <v>67752</v>
      </c>
      <c r="D7" s="5" t="n">
        <v>367097</v>
      </c>
      <c r="E7" s="5" t="n">
        <v>462310</v>
      </c>
      <c r="F7" s="5" t="n">
        <v>180754</v>
      </c>
      <c r="G7" s="5" t="n">
        <v>91856</v>
      </c>
      <c r="H7" s="5" t="n">
        <v>109244</v>
      </c>
      <c r="I7" s="5" t="n">
        <v>25497</v>
      </c>
      <c r="J7" s="5" t="n">
        <v>14473</v>
      </c>
      <c r="K7" s="5" t="n">
        <v>90399</v>
      </c>
      <c r="L7" s="5" t="n">
        <v>66246</v>
      </c>
    </row>
    <row r="8">
      <c r="A8" s="4" t="n">
        <v>46189</v>
      </c>
      <c r="B8" s="5" t="n">
        <v>894671</v>
      </c>
      <c r="C8" s="5" t="n">
        <v>32449</v>
      </c>
      <c r="D8" s="5" t="n">
        <v>331417</v>
      </c>
      <c r="E8" s="5" t="n">
        <v>460022</v>
      </c>
      <c r="F8" s="5" t="n">
        <v>189678</v>
      </c>
      <c r="G8" s="5" t="n">
        <v>94228</v>
      </c>
      <c r="H8" s="5" t="n">
        <v>103154</v>
      </c>
      <c r="I8" s="5" t="n">
        <v>23796</v>
      </c>
      <c r="J8" s="5" t="n">
        <v>13782</v>
      </c>
      <c r="K8" s="5" t="n">
        <v>214087</v>
      </c>
      <c r="L8" s="5" t="n">
        <v>186551</v>
      </c>
    </row>
    <row r="9">
      <c r="A9" s="4" t="n">
        <v>46196</v>
      </c>
      <c r="B9" s="5" t="n">
        <v>785477</v>
      </c>
      <c r="C9" s="5" t="n">
        <v>36965</v>
      </c>
      <c r="D9" s="5" t="n">
        <v>312295</v>
      </c>
      <c r="E9" s="5" t="n">
        <v>462293</v>
      </c>
      <c r="F9" s="5" t="n">
        <v>207563</v>
      </c>
      <c r="G9" s="5" t="n">
        <v>108150</v>
      </c>
      <c r="H9" s="5" t="n">
        <v>123560</v>
      </c>
      <c r="I9" s="5" t="n">
        <v>22501</v>
      </c>
      <c r="J9" s="5" t="n">
        <v>13516</v>
      </c>
      <c r="K9" s="5" t="n">
        <v>81337</v>
      </c>
      <c r="L9" s="5" t="n">
        <v>54312</v>
      </c>
    </row>
    <row r="10">
      <c r="A10" s="4" t="n">
        <v>46203</v>
      </c>
      <c r="B10" s="5" t="n">
        <v>790076</v>
      </c>
      <c r="C10" s="5" t="n">
        <v>39903</v>
      </c>
      <c r="D10" s="5" t="n">
        <v>293368</v>
      </c>
      <c r="E10" s="5" t="n">
        <v>470602</v>
      </c>
      <c r="F10" s="5" t="n">
        <v>215444</v>
      </c>
      <c r="G10" s="5" t="n">
        <v>102267</v>
      </c>
      <c r="H10" s="5" t="n">
        <v>134911</v>
      </c>
      <c r="I10" s="5" t="n">
        <v>20919</v>
      </c>
      <c r="J10" s="5" t="n">
        <v>13548</v>
      </c>
      <c r="K10" s="5" t="n">
        <v>80468</v>
      </c>
      <c r="L10" s="5" t="n">
        <v>56888</v>
      </c>
    </row>
    <row r="11">
      <c r="A11" s="4" t="n">
        <v>46210</v>
      </c>
      <c r="B11" s="5" t="n">
        <v>794833</v>
      </c>
      <c r="C11" s="5" t="n">
        <v>43012</v>
      </c>
      <c r="D11" s="5" t="n">
        <v>289135</v>
      </c>
      <c r="E11" s="5" t="n">
        <v>478070</v>
      </c>
      <c r="F11" s="5" t="n">
        <v>224152</v>
      </c>
      <c r="G11" s="5" t="n">
        <v>87460</v>
      </c>
      <c r="H11" s="5" t="n">
        <v>132921</v>
      </c>
      <c r="I11" s="5" t="n">
        <v>22853</v>
      </c>
      <c r="J11" s="5" t="n">
        <v>11438</v>
      </c>
      <c r="K11" s="5" t="n">
        <v>83533</v>
      </c>
      <c r="L11" s="5" t="n">
        <v>57282</v>
      </c>
    </row>
    <row r="12">
      <c r="A12" s="4" t="n">
        <v>46217</v>
      </c>
      <c r="B12" s="5" t="n">
        <v>799495</v>
      </c>
      <c r="C12" s="5" t="n">
        <v>45006</v>
      </c>
      <c r="D12" s="5" t="n">
        <v>277174</v>
      </c>
      <c r="E12" s="5" t="n">
        <v>466709</v>
      </c>
      <c r="F12" s="5" t="n">
        <v>219393</v>
      </c>
      <c r="G12" s="5" t="n">
        <v>89976</v>
      </c>
      <c r="H12" s="5" t="n">
        <v>143667</v>
      </c>
      <c r="I12" s="5" t="n">
        <v>23465</v>
      </c>
      <c r="J12" s="5" t="n">
        <v>10917</v>
      </c>
      <c r="K12" s="5" t="n">
        <v>82849</v>
      </c>
      <c r="L12" s="5" t="n">
        <v>56854</v>
      </c>
    </row>
    <row r="13">
      <c r="A13" s="4" t="n">
        <v>46224</v>
      </c>
      <c r="B13" s="5" t="n">
        <v>800061</v>
      </c>
      <c r="C13" s="5" t="n">
        <v>51686</v>
      </c>
      <c r="D13" s="5" t="n">
        <v>259905</v>
      </c>
      <c r="E13" s="5" t="n">
        <v>458394</v>
      </c>
      <c r="F13" s="5" t="n">
        <v>229467</v>
      </c>
      <c r="G13" s="5" t="n">
        <v>91110</v>
      </c>
      <c r="H13" s="5" t="n">
        <v>147781</v>
      </c>
      <c r="I13" s="5" t="n">
        <v>23901</v>
      </c>
      <c r="J13" s="5" t="n">
        <v>11301</v>
      </c>
      <c r="K13" s="5" t="n">
        <v>80473</v>
      </c>
      <c r="L13" s="5" t="n">
        <v>57110</v>
      </c>
    </row>
    <row r="14">
      <c r="A14" s="4" t="n">
        <v>46231</v>
      </c>
      <c r="B14" s="5" t="n">
        <v>819806</v>
      </c>
      <c r="C14" s="5" t="n">
        <v>76674</v>
      </c>
      <c r="D14" s="5" t="n">
        <v>252190</v>
      </c>
      <c r="E14" s="5" t="n">
        <v>449191</v>
      </c>
      <c r="F14" s="5" t="n">
        <v>239865</v>
      </c>
      <c r="G14" s="5" t="n">
        <v>92672</v>
      </c>
      <c r="H14" s="5" t="n">
        <v>157870</v>
      </c>
      <c r="I14" s="5" t="n">
        <v>23041</v>
      </c>
      <c r="J14" s="5" t="n">
        <v>12386</v>
      </c>
      <c r="K14" s="5" t="n">
        <v>78549</v>
      </c>
      <c r="L14" s="5" t="n">
        <v>57816</v>
      </c>
    </row>
    <row r="15">
      <c r="A15" s="4" t="n">
        <v>46238</v>
      </c>
      <c r="B15" s="5" t="n">
        <v>799909</v>
      </c>
      <c r="C15" s="5" t="n">
        <v>51250</v>
      </c>
      <c r="D15" s="5" t="n">
        <v>255728</v>
      </c>
      <c r="E15" s="5" t="n">
        <v>445903</v>
      </c>
      <c r="F15" s="5" t="n">
        <v>226641</v>
      </c>
      <c r="G15" s="5" t="n">
        <v>95389</v>
      </c>
      <c r="H15" s="5" t="n">
        <v>147594</v>
      </c>
      <c r="I15" s="5" t="n">
        <v>22715</v>
      </c>
      <c r="J15" s="5" t="n">
        <v>11923</v>
      </c>
      <c r="K15" s="5" t="n">
        <v>80953</v>
      </c>
      <c r="L15" s="5" t="n">
        <v>54324</v>
      </c>
    </row>
    <row r="16">
      <c r="A16" s="4" t="n">
        <v>46245</v>
      </c>
      <c r="B16" s="5" t="n">
        <v>801884</v>
      </c>
      <c r="C16" s="5" t="n">
        <v>53721</v>
      </c>
      <c r="D16" s="5" t="n">
        <v>259757</v>
      </c>
      <c r="E16" s="5" t="n">
        <v>450831</v>
      </c>
      <c r="F16" s="5" t="n">
        <v>225442</v>
      </c>
      <c r="G16" s="5" t="n">
        <v>86753</v>
      </c>
      <c r="H16" s="5" t="n">
        <v>147353</v>
      </c>
      <c r="I16" s="5" t="n">
        <v>23277</v>
      </c>
      <c r="J16" s="5" t="n">
        <v>12837</v>
      </c>
      <c r="K16" s="5" t="n">
        <v>82886</v>
      </c>
      <c r="L16" s="5" t="n">
        <v>52079</v>
      </c>
    </row>
    <row r="17">
      <c r="A17" s="4" t="n">
        <v>46252</v>
      </c>
      <c r="B17" s="5" t="n">
        <v>804940</v>
      </c>
      <c r="C17" s="5" t="n">
        <v>53199</v>
      </c>
      <c r="D17" s="5" t="n">
        <v>277471</v>
      </c>
      <c r="E17" s="5" t="n">
        <v>451575</v>
      </c>
      <c r="F17" s="5" t="n">
        <v>214149</v>
      </c>
      <c r="G17" s="5" t="n">
        <v>90140</v>
      </c>
      <c r="H17" s="5" t="n">
        <v>147856</v>
      </c>
      <c r="I17" s="5" t="n">
        <v>24290</v>
      </c>
      <c r="J17" s="5" t="n">
        <v>14761</v>
      </c>
      <c r="K17" s="5" t="n">
        <v>86443</v>
      </c>
      <c r="L17" s="5" t="n">
        <v>51410</v>
      </c>
    </row>
    <row r="18">
      <c r="A18" s="4" t="n">
        <v>46259</v>
      </c>
      <c r="B18" s="5" t="n">
        <v>818524</v>
      </c>
      <c r="C18" s="5" t="n">
        <v>52864</v>
      </c>
      <c r="D18" s="5" t="n">
        <v>321445</v>
      </c>
      <c r="E18" s="5" t="n">
        <v>461805</v>
      </c>
      <c r="F18" s="5" t="n">
        <v>200379</v>
      </c>
      <c r="G18" s="5" t="n">
        <v>90921</v>
      </c>
      <c r="H18" s="5" t="n">
        <v>129280</v>
      </c>
      <c r="I18" s="5" t="n">
        <v>23899</v>
      </c>
      <c r="J18" s="5" t="n">
        <v>14297</v>
      </c>
      <c r="K18" s="5" t="n">
        <v>86807</v>
      </c>
      <c r="L18" s="5" t="n">
        <v>50895</v>
      </c>
    </row>
    <row r="19">
      <c r="A19" s="4" t="n">
        <v>46266</v>
      </c>
      <c r="B19" s="5" t="n">
        <v>865412</v>
      </c>
      <c r="C19" s="5" t="n">
        <v>54643</v>
      </c>
      <c r="D19" s="5" t="n">
        <v>322221</v>
      </c>
      <c r="E19" s="5" t="n">
        <v>468254</v>
      </c>
      <c r="F19" s="5" t="n">
        <v>205001</v>
      </c>
      <c r="G19" s="5" t="n">
        <v>96137</v>
      </c>
      <c r="H19" s="5" t="n">
        <v>134310</v>
      </c>
      <c r="I19" s="5" t="n">
        <v>23850</v>
      </c>
      <c r="J19" s="5" t="n">
        <v>15004</v>
      </c>
      <c r="K19" s="5" t="n">
        <v>85670</v>
      </c>
      <c r="L19" s="5" t="n">
        <v>52018</v>
      </c>
    </row>
    <row r="20">
      <c r="A20" s="4" t="n">
        <v>46273</v>
      </c>
      <c r="B20" s="5" t="n">
        <v>942464</v>
      </c>
      <c r="C20" s="5" t="n">
        <v>54357</v>
      </c>
      <c r="D20" s="5" t="n">
        <v>315811</v>
      </c>
      <c r="E20" s="5" t="n">
        <v>484443</v>
      </c>
      <c r="F20" s="5" t="n">
        <v>233765</v>
      </c>
      <c r="G20" s="5" t="n">
        <v>94808</v>
      </c>
      <c r="H20" s="5" t="n">
        <v>128093</v>
      </c>
      <c r="I20" s="5" t="n">
        <v>24587</v>
      </c>
      <c r="J20" s="5" t="n">
        <v>16412</v>
      </c>
      <c r="K20" s="5" t="n">
        <v>92781</v>
      </c>
      <c r="L20" s="5" t="n">
        <v>56895</v>
      </c>
    </row>
    <row r="21">
      <c r="A21" s="4" t="n">
        <v>46280</v>
      </c>
      <c r="B21" s="5" t="n">
        <v>920035</v>
      </c>
      <c r="C21" s="5" t="n">
        <v>41113</v>
      </c>
      <c r="D21" s="5" t="n">
        <v>299193</v>
      </c>
      <c r="E21" s="5" t="n">
        <v>486435</v>
      </c>
      <c r="F21" s="5" t="n">
        <v>234737</v>
      </c>
      <c r="G21" s="5" t="n">
        <v>103260</v>
      </c>
      <c r="H21" s="5" t="n">
        <v>131416</v>
      </c>
      <c r="I21" s="5" t="n">
        <v>24818</v>
      </c>
      <c r="J21" s="5" t="n">
        <v>17063</v>
      </c>
      <c r="K21" s="5" t="n">
        <v>188399</v>
      </c>
      <c r="L21" s="5" t="n">
        <v>161616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Net position by trader category (long minus short), week on week change, and net as % of open interest</t>
        </is>
      </c>
    </row>
    <row r="2">
      <c r="A2" s="2" t="inlineStr">
        <is>
          <t>Source: CFTC Public Reporting Environment, Traders in Financial Futures, Futures Only, EURO FX - CHICAGO MERCANTILE EXCHANGE (code 099741, contract of EUR 125,000). https://publicreporting.cftc.gov/Commitments-of-Traders/Traders-in-Financial-Futures-Futures-Only/gpe5-46if . Accessed 19 Oct 2026.</t>
        </is>
      </c>
    </row>
    <row r="3">
      <c r="A3" s="2" t="inlineStr">
        <is>
          <t>All cells are formulas on Raw_TFF. Net = long minus short. WoW = change from the previous Tuesday. Net % OI = net divided by open interest. Highlighted rows: 8 Sep is the last print before the 10 Sep ECB decision, 15 Sep is the first print after it.</t>
        </is>
      </c>
    </row>
    <row r="4" ht="42" customHeight="1">
      <c r="A4" s="3" t="inlineStr">
        <is>
          <t>Positions as of (Tuesday)</t>
        </is>
      </c>
      <c r="B4" s="3" t="inlineStr">
        <is>
          <t>Open interest</t>
        </is>
      </c>
      <c r="C4" s="3" t="inlineStr">
        <is>
          <t>Dealer net</t>
        </is>
      </c>
      <c r="D4" s="3" t="inlineStr">
        <is>
          <t>Dealer net WoW</t>
        </is>
      </c>
      <c r="E4" s="3" t="inlineStr">
        <is>
          <t>Dealer net % OI</t>
        </is>
      </c>
      <c r="F4" s="3" t="inlineStr">
        <is>
          <t>Asset manager net</t>
        </is>
      </c>
      <c r="G4" s="3" t="inlineStr">
        <is>
          <t>Asset manager net WoW</t>
        </is>
      </c>
      <c r="H4" s="3" t="inlineStr">
        <is>
          <t>Asset manager net % OI</t>
        </is>
      </c>
      <c r="I4" s="3" t="inlineStr">
        <is>
          <t>Leveraged funds net</t>
        </is>
      </c>
      <c r="J4" s="3" t="inlineStr">
        <is>
          <t>Leveraged funds net WoW</t>
        </is>
      </c>
      <c r="K4" s="3" t="inlineStr">
        <is>
          <t>Leveraged funds net % OI</t>
        </is>
      </c>
      <c r="L4" s="3" t="inlineStr">
        <is>
          <t>Other reportable net</t>
        </is>
      </c>
      <c r="M4" s="3" t="inlineStr">
        <is>
          <t>Other reportable net WoW</t>
        </is>
      </c>
      <c r="N4" s="3" t="inlineStr">
        <is>
          <t>Other reportable net % OI</t>
        </is>
      </c>
      <c r="O4" s="3" t="inlineStr">
        <is>
          <t>Nonreportable net</t>
        </is>
      </c>
      <c r="P4" s="3" t="inlineStr">
        <is>
          <t>Nonreportable net WoW</t>
        </is>
      </c>
      <c r="Q4" s="3" t="inlineStr">
        <is>
          <t>Nonreportable net % OI</t>
        </is>
      </c>
    </row>
    <row r="5">
      <c r="A5" s="6">
        <f>Raw_TFF!A5</f>
        <v/>
      </c>
      <c r="B5" s="7">
        <f>Raw_TFF!B5</f>
        <v/>
      </c>
      <c r="C5" s="7">
        <f>Raw_TFF!C5-Raw_TFF!D5</f>
        <v/>
      </c>
      <c r="D5" s="8" t="inlineStr">
        <is>
          <t>n/a</t>
        </is>
      </c>
      <c r="E5" s="9">
        <f>C5/B5</f>
        <v/>
      </c>
      <c r="F5" s="7">
        <f>Raw_TFF!E5-Raw_TFF!F5</f>
        <v/>
      </c>
      <c r="G5" s="8" t="inlineStr">
        <is>
          <t>n/a</t>
        </is>
      </c>
      <c r="H5" s="9">
        <f>F5/B5</f>
        <v/>
      </c>
      <c r="I5" s="7">
        <f>Raw_TFF!G5-Raw_TFF!H5</f>
        <v/>
      </c>
      <c r="J5" s="8" t="inlineStr">
        <is>
          <t>n/a</t>
        </is>
      </c>
      <c r="K5" s="9">
        <f>I5/B5</f>
        <v/>
      </c>
      <c r="L5" s="7">
        <f>Raw_TFF!I5-Raw_TFF!J5</f>
        <v/>
      </c>
      <c r="M5" s="8" t="inlineStr">
        <is>
          <t>n/a</t>
        </is>
      </c>
      <c r="N5" s="9">
        <f>L5/B5</f>
        <v/>
      </c>
      <c r="O5" s="7">
        <f>Raw_TFF!K5-Raw_TFF!L5</f>
        <v/>
      </c>
      <c r="P5" s="8" t="inlineStr">
        <is>
          <t>n/a</t>
        </is>
      </c>
      <c r="Q5" s="9">
        <f>O5/B5</f>
        <v/>
      </c>
    </row>
    <row r="6">
      <c r="A6" s="6">
        <f>Raw_TFF!A6</f>
        <v/>
      </c>
      <c r="B6" s="7">
        <f>Raw_TFF!B6</f>
        <v/>
      </c>
      <c r="C6" s="7">
        <f>Raw_TFF!C6-Raw_TFF!D6</f>
        <v/>
      </c>
      <c r="D6" s="7">
        <f>C6-C5</f>
        <v/>
      </c>
      <c r="E6" s="9">
        <f>C6/B6</f>
        <v/>
      </c>
      <c r="F6" s="7">
        <f>Raw_TFF!E6-Raw_TFF!F6</f>
        <v/>
      </c>
      <c r="G6" s="7">
        <f>F6-F5</f>
        <v/>
      </c>
      <c r="H6" s="9">
        <f>F6/B6</f>
        <v/>
      </c>
      <c r="I6" s="7">
        <f>Raw_TFF!G6-Raw_TFF!H6</f>
        <v/>
      </c>
      <c r="J6" s="7">
        <f>I6-I5</f>
        <v/>
      </c>
      <c r="K6" s="9">
        <f>I6/B6</f>
        <v/>
      </c>
      <c r="L6" s="7">
        <f>Raw_TFF!I6-Raw_TFF!J6</f>
        <v/>
      </c>
      <c r="M6" s="7">
        <f>L6-L5</f>
        <v/>
      </c>
      <c r="N6" s="9">
        <f>L6/B6</f>
        <v/>
      </c>
      <c r="O6" s="7">
        <f>Raw_TFF!K6-Raw_TFF!L6</f>
        <v/>
      </c>
      <c r="P6" s="7">
        <f>O6-O5</f>
        <v/>
      </c>
      <c r="Q6" s="9">
        <f>O6/B6</f>
        <v/>
      </c>
    </row>
    <row r="7">
      <c r="A7" s="6">
        <f>Raw_TFF!A7</f>
        <v/>
      </c>
      <c r="B7" s="7">
        <f>Raw_TFF!B7</f>
        <v/>
      </c>
      <c r="C7" s="7">
        <f>Raw_TFF!C7-Raw_TFF!D7</f>
        <v/>
      </c>
      <c r="D7" s="7">
        <f>C7-C6</f>
        <v/>
      </c>
      <c r="E7" s="9">
        <f>C7/B7</f>
        <v/>
      </c>
      <c r="F7" s="7">
        <f>Raw_TFF!E7-Raw_TFF!F7</f>
        <v/>
      </c>
      <c r="G7" s="7">
        <f>F7-F6</f>
        <v/>
      </c>
      <c r="H7" s="9">
        <f>F7/B7</f>
        <v/>
      </c>
      <c r="I7" s="7">
        <f>Raw_TFF!G7-Raw_TFF!H7</f>
        <v/>
      </c>
      <c r="J7" s="7">
        <f>I7-I6</f>
        <v/>
      </c>
      <c r="K7" s="9">
        <f>I7/B7</f>
        <v/>
      </c>
      <c r="L7" s="7">
        <f>Raw_TFF!I7-Raw_TFF!J7</f>
        <v/>
      </c>
      <c r="M7" s="7">
        <f>L7-L6</f>
        <v/>
      </c>
      <c r="N7" s="9">
        <f>L7/B7</f>
        <v/>
      </c>
      <c r="O7" s="7">
        <f>Raw_TFF!K7-Raw_TFF!L7</f>
        <v/>
      </c>
      <c r="P7" s="7">
        <f>O7-O6</f>
        <v/>
      </c>
      <c r="Q7" s="9">
        <f>O7/B7</f>
        <v/>
      </c>
    </row>
    <row r="8">
      <c r="A8" s="6">
        <f>Raw_TFF!A8</f>
        <v/>
      </c>
      <c r="B8" s="7">
        <f>Raw_TFF!B8</f>
        <v/>
      </c>
      <c r="C8" s="7">
        <f>Raw_TFF!C8-Raw_TFF!D8</f>
        <v/>
      </c>
      <c r="D8" s="7">
        <f>C8-C7</f>
        <v/>
      </c>
      <c r="E8" s="9">
        <f>C8/B8</f>
        <v/>
      </c>
      <c r="F8" s="7">
        <f>Raw_TFF!E8-Raw_TFF!F8</f>
        <v/>
      </c>
      <c r="G8" s="7">
        <f>F8-F7</f>
        <v/>
      </c>
      <c r="H8" s="9">
        <f>F8/B8</f>
        <v/>
      </c>
      <c r="I8" s="7">
        <f>Raw_TFF!G8-Raw_TFF!H8</f>
        <v/>
      </c>
      <c r="J8" s="7">
        <f>I8-I7</f>
        <v/>
      </c>
      <c r="K8" s="9">
        <f>I8/B8</f>
        <v/>
      </c>
      <c r="L8" s="7">
        <f>Raw_TFF!I8-Raw_TFF!J8</f>
        <v/>
      </c>
      <c r="M8" s="7">
        <f>L8-L7</f>
        <v/>
      </c>
      <c r="N8" s="9">
        <f>L8/B8</f>
        <v/>
      </c>
      <c r="O8" s="7">
        <f>Raw_TFF!K8-Raw_TFF!L8</f>
        <v/>
      </c>
      <c r="P8" s="7">
        <f>O8-O7</f>
        <v/>
      </c>
      <c r="Q8" s="9">
        <f>O8/B8</f>
        <v/>
      </c>
    </row>
    <row r="9">
      <c r="A9" s="6">
        <f>Raw_TFF!A9</f>
        <v/>
      </c>
      <c r="B9" s="7">
        <f>Raw_TFF!B9</f>
        <v/>
      </c>
      <c r="C9" s="7">
        <f>Raw_TFF!C9-Raw_TFF!D9</f>
        <v/>
      </c>
      <c r="D9" s="7">
        <f>C9-C8</f>
        <v/>
      </c>
      <c r="E9" s="9">
        <f>C9/B9</f>
        <v/>
      </c>
      <c r="F9" s="7">
        <f>Raw_TFF!E9-Raw_TFF!F9</f>
        <v/>
      </c>
      <c r="G9" s="7">
        <f>F9-F8</f>
        <v/>
      </c>
      <c r="H9" s="9">
        <f>F9/B9</f>
        <v/>
      </c>
      <c r="I9" s="7">
        <f>Raw_TFF!G9-Raw_TFF!H9</f>
        <v/>
      </c>
      <c r="J9" s="7">
        <f>I9-I8</f>
        <v/>
      </c>
      <c r="K9" s="9">
        <f>I9/B9</f>
        <v/>
      </c>
      <c r="L9" s="7">
        <f>Raw_TFF!I9-Raw_TFF!J9</f>
        <v/>
      </c>
      <c r="M9" s="7">
        <f>L9-L8</f>
        <v/>
      </c>
      <c r="N9" s="9">
        <f>L9/B9</f>
        <v/>
      </c>
      <c r="O9" s="7">
        <f>Raw_TFF!K9-Raw_TFF!L9</f>
        <v/>
      </c>
      <c r="P9" s="7">
        <f>O9-O8</f>
        <v/>
      </c>
      <c r="Q9" s="9">
        <f>O9/B9</f>
        <v/>
      </c>
    </row>
    <row r="10">
      <c r="A10" s="6">
        <f>Raw_TFF!A10</f>
        <v/>
      </c>
      <c r="B10" s="7">
        <f>Raw_TFF!B10</f>
        <v/>
      </c>
      <c r="C10" s="7">
        <f>Raw_TFF!C10-Raw_TFF!D10</f>
        <v/>
      </c>
      <c r="D10" s="7">
        <f>C10-C9</f>
        <v/>
      </c>
      <c r="E10" s="9">
        <f>C10/B10</f>
        <v/>
      </c>
      <c r="F10" s="7">
        <f>Raw_TFF!E10-Raw_TFF!F10</f>
        <v/>
      </c>
      <c r="G10" s="7">
        <f>F10-F9</f>
        <v/>
      </c>
      <c r="H10" s="9">
        <f>F10/B10</f>
        <v/>
      </c>
      <c r="I10" s="7">
        <f>Raw_TFF!G10-Raw_TFF!H10</f>
        <v/>
      </c>
      <c r="J10" s="7">
        <f>I10-I9</f>
        <v/>
      </c>
      <c r="K10" s="9">
        <f>I10/B10</f>
        <v/>
      </c>
      <c r="L10" s="7">
        <f>Raw_TFF!I10-Raw_TFF!J10</f>
        <v/>
      </c>
      <c r="M10" s="7">
        <f>L10-L9</f>
        <v/>
      </c>
      <c r="N10" s="9">
        <f>L10/B10</f>
        <v/>
      </c>
      <c r="O10" s="7">
        <f>Raw_TFF!K10-Raw_TFF!L10</f>
        <v/>
      </c>
      <c r="P10" s="7">
        <f>O10-O9</f>
        <v/>
      </c>
      <c r="Q10" s="9">
        <f>O10/B10</f>
        <v/>
      </c>
    </row>
    <row r="11">
      <c r="A11" s="6">
        <f>Raw_TFF!A11</f>
        <v/>
      </c>
      <c r="B11" s="7">
        <f>Raw_TFF!B11</f>
        <v/>
      </c>
      <c r="C11" s="7">
        <f>Raw_TFF!C11-Raw_TFF!D11</f>
        <v/>
      </c>
      <c r="D11" s="7">
        <f>C11-C10</f>
        <v/>
      </c>
      <c r="E11" s="9">
        <f>C11/B11</f>
        <v/>
      </c>
      <c r="F11" s="7">
        <f>Raw_TFF!E11-Raw_TFF!F11</f>
        <v/>
      </c>
      <c r="G11" s="7">
        <f>F11-F10</f>
        <v/>
      </c>
      <c r="H11" s="9">
        <f>F11/B11</f>
        <v/>
      </c>
      <c r="I11" s="7">
        <f>Raw_TFF!G11-Raw_TFF!H11</f>
        <v/>
      </c>
      <c r="J11" s="7">
        <f>I11-I10</f>
        <v/>
      </c>
      <c r="K11" s="9">
        <f>I11/B11</f>
        <v/>
      </c>
      <c r="L11" s="7">
        <f>Raw_TFF!I11-Raw_TFF!J11</f>
        <v/>
      </c>
      <c r="M11" s="7">
        <f>L11-L10</f>
        <v/>
      </c>
      <c r="N11" s="9">
        <f>L11/B11</f>
        <v/>
      </c>
      <c r="O11" s="7">
        <f>Raw_TFF!K11-Raw_TFF!L11</f>
        <v/>
      </c>
      <c r="P11" s="7">
        <f>O11-O10</f>
        <v/>
      </c>
      <c r="Q11" s="9">
        <f>O11/B11</f>
        <v/>
      </c>
    </row>
    <row r="12">
      <c r="A12" s="6">
        <f>Raw_TFF!A12</f>
        <v/>
      </c>
      <c r="B12" s="7">
        <f>Raw_TFF!B12</f>
        <v/>
      </c>
      <c r="C12" s="7">
        <f>Raw_TFF!C12-Raw_TFF!D12</f>
        <v/>
      </c>
      <c r="D12" s="7">
        <f>C12-C11</f>
        <v/>
      </c>
      <c r="E12" s="9">
        <f>C12/B12</f>
        <v/>
      </c>
      <c r="F12" s="7">
        <f>Raw_TFF!E12-Raw_TFF!F12</f>
        <v/>
      </c>
      <c r="G12" s="7">
        <f>F12-F11</f>
        <v/>
      </c>
      <c r="H12" s="9">
        <f>F12/B12</f>
        <v/>
      </c>
      <c r="I12" s="7">
        <f>Raw_TFF!G12-Raw_TFF!H12</f>
        <v/>
      </c>
      <c r="J12" s="7">
        <f>I12-I11</f>
        <v/>
      </c>
      <c r="K12" s="9">
        <f>I12/B12</f>
        <v/>
      </c>
      <c r="L12" s="7">
        <f>Raw_TFF!I12-Raw_TFF!J12</f>
        <v/>
      </c>
      <c r="M12" s="7">
        <f>L12-L11</f>
        <v/>
      </c>
      <c r="N12" s="9">
        <f>L12/B12</f>
        <v/>
      </c>
      <c r="O12" s="7">
        <f>Raw_TFF!K12-Raw_TFF!L12</f>
        <v/>
      </c>
      <c r="P12" s="7">
        <f>O12-O11</f>
        <v/>
      </c>
      <c r="Q12" s="9">
        <f>O12/B12</f>
        <v/>
      </c>
    </row>
    <row r="13">
      <c r="A13" s="6">
        <f>Raw_TFF!A13</f>
        <v/>
      </c>
      <c r="B13" s="7">
        <f>Raw_TFF!B13</f>
        <v/>
      </c>
      <c r="C13" s="7">
        <f>Raw_TFF!C13-Raw_TFF!D13</f>
        <v/>
      </c>
      <c r="D13" s="7">
        <f>C13-C12</f>
        <v/>
      </c>
      <c r="E13" s="9">
        <f>C13/B13</f>
        <v/>
      </c>
      <c r="F13" s="7">
        <f>Raw_TFF!E13-Raw_TFF!F13</f>
        <v/>
      </c>
      <c r="G13" s="7">
        <f>F13-F12</f>
        <v/>
      </c>
      <c r="H13" s="9">
        <f>F13/B13</f>
        <v/>
      </c>
      <c r="I13" s="7">
        <f>Raw_TFF!G13-Raw_TFF!H13</f>
        <v/>
      </c>
      <c r="J13" s="7">
        <f>I13-I12</f>
        <v/>
      </c>
      <c r="K13" s="9">
        <f>I13/B13</f>
        <v/>
      </c>
      <c r="L13" s="7">
        <f>Raw_TFF!I13-Raw_TFF!J13</f>
        <v/>
      </c>
      <c r="M13" s="7">
        <f>L13-L12</f>
        <v/>
      </c>
      <c r="N13" s="9">
        <f>L13/B13</f>
        <v/>
      </c>
      <c r="O13" s="7">
        <f>Raw_TFF!K13-Raw_TFF!L13</f>
        <v/>
      </c>
      <c r="P13" s="7">
        <f>O13-O12</f>
        <v/>
      </c>
      <c r="Q13" s="9">
        <f>O13/B13</f>
        <v/>
      </c>
    </row>
    <row r="14">
      <c r="A14" s="6">
        <f>Raw_TFF!A14</f>
        <v/>
      </c>
      <c r="B14" s="7">
        <f>Raw_TFF!B14</f>
        <v/>
      </c>
      <c r="C14" s="7">
        <f>Raw_TFF!C14-Raw_TFF!D14</f>
        <v/>
      </c>
      <c r="D14" s="7">
        <f>C14-C13</f>
        <v/>
      </c>
      <c r="E14" s="9">
        <f>C14/B14</f>
        <v/>
      </c>
      <c r="F14" s="7">
        <f>Raw_TFF!E14-Raw_TFF!F14</f>
        <v/>
      </c>
      <c r="G14" s="7">
        <f>F14-F13</f>
        <v/>
      </c>
      <c r="H14" s="9">
        <f>F14/B14</f>
        <v/>
      </c>
      <c r="I14" s="7">
        <f>Raw_TFF!G14-Raw_TFF!H14</f>
        <v/>
      </c>
      <c r="J14" s="7">
        <f>I14-I13</f>
        <v/>
      </c>
      <c r="K14" s="9">
        <f>I14/B14</f>
        <v/>
      </c>
      <c r="L14" s="7">
        <f>Raw_TFF!I14-Raw_TFF!J14</f>
        <v/>
      </c>
      <c r="M14" s="7">
        <f>L14-L13</f>
        <v/>
      </c>
      <c r="N14" s="9">
        <f>L14/B14</f>
        <v/>
      </c>
      <c r="O14" s="7">
        <f>Raw_TFF!K14-Raw_TFF!L14</f>
        <v/>
      </c>
      <c r="P14" s="7">
        <f>O14-O13</f>
        <v/>
      </c>
      <c r="Q14" s="9">
        <f>O14/B14</f>
        <v/>
      </c>
    </row>
    <row r="15">
      <c r="A15" s="6">
        <f>Raw_TFF!A15</f>
        <v/>
      </c>
      <c r="B15" s="7">
        <f>Raw_TFF!B15</f>
        <v/>
      </c>
      <c r="C15" s="7">
        <f>Raw_TFF!C15-Raw_TFF!D15</f>
        <v/>
      </c>
      <c r="D15" s="7">
        <f>C15-C14</f>
        <v/>
      </c>
      <c r="E15" s="9">
        <f>C15/B15</f>
        <v/>
      </c>
      <c r="F15" s="7">
        <f>Raw_TFF!E15-Raw_TFF!F15</f>
        <v/>
      </c>
      <c r="G15" s="7">
        <f>F15-F14</f>
        <v/>
      </c>
      <c r="H15" s="9">
        <f>F15/B15</f>
        <v/>
      </c>
      <c r="I15" s="7">
        <f>Raw_TFF!G15-Raw_TFF!H15</f>
        <v/>
      </c>
      <c r="J15" s="7">
        <f>I15-I14</f>
        <v/>
      </c>
      <c r="K15" s="9">
        <f>I15/B15</f>
        <v/>
      </c>
      <c r="L15" s="7">
        <f>Raw_TFF!I15-Raw_TFF!J15</f>
        <v/>
      </c>
      <c r="M15" s="7">
        <f>L15-L14</f>
        <v/>
      </c>
      <c r="N15" s="9">
        <f>L15/B15</f>
        <v/>
      </c>
      <c r="O15" s="7">
        <f>Raw_TFF!K15-Raw_TFF!L15</f>
        <v/>
      </c>
      <c r="P15" s="7">
        <f>O15-O14</f>
        <v/>
      </c>
      <c r="Q15" s="9">
        <f>O15/B15</f>
        <v/>
      </c>
    </row>
    <row r="16">
      <c r="A16" s="6">
        <f>Raw_TFF!A16</f>
        <v/>
      </c>
      <c r="B16" s="7">
        <f>Raw_TFF!B16</f>
        <v/>
      </c>
      <c r="C16" s="7">
        <f>Raw_TFF!C16-Raw_TFF!D16</f>
        <v/>
      </c>
      <c r="D16" s="7">
        <f>C16-C15</f>
        <v/>
      </c>
      <c r="E16" s="9">
        <f>C16/B16</f>
        <v/>
      </c>
      <c r="F16" s="7">
        <f>Raw_TFF!E16-Raw_TFF!F16</f>
        <v/>
      </c>
      <c r="G16" s="7">
        <f>F16-F15</f>
        <v/>
      </c>
      <c r="H16" s="9">
        <f>F16/B16</f>
        <v/>
      </c>
      <c r="I16" s="7">
        <f>Raw_TFF!G16-Raw_TFF!H16</f>
        <v/>
      </c>
      <c r="J16" s="7">
        <f>I16-I15</f>
        <v/>
      </c>
      <c r="K16" s="9">
        <f>I16/B16</f>
        <v/>
      </c>
      <c r="L16" s="7">
        <f>Raw_TFF!I16-Raw_TFF!J16</f>
        <v/>
      </c>
      <c r="M16" s="7">
        <f>L16-L15</f>
        <v/>
      </c>
      <c r="N16" s="9">
        <f>L16/B16</f>
        <v/>
      </c>
      <c r="O16" s="7">
        <f>Raw_TFF!K16-Raw_TFF!L16</f>
        <v/>
      </c>
      <c r="P16" s="7">
        <f>O16-O15</f>
        <v/>
      </c>
      <c r="Q16" s="9">
        <f>O16/B16</f>
        <v/>
      </c>
    </row>
    <row r="17">
      <c r="A17" s="6">
        <f>Raw_TFF!A17</f>
        <v/>
      </c>
      <c r="B17" s="7">
        <f>Raw_TFF!B17</f>
        <v/>
      </c>
      <c r="C17" s="7">
        <f>Raw_TFF!C17-Raw_TFF!D17</f>
        <v/>
      </c>
      <c r="D17" s="7">
        <f>C17-C16</f>
        <v/>
      </c>
      <c r="E17" s="9">
        <f>C17/B17</f>
        <v/>
      </c>
      <c r="F17" s="7">
        <f>Raw_TFF!E17-Raw_TFF!F17</f>
        <v/>
      </c>
      <c r="G17" s="7">
        <f>F17-F16</f>
        <v/>
      </c>
      <c r="H17" s="9">
        <f>F17/B17</f>
        <v/>
      </c>
      <c r="I17" s="7">
        <f>Raw_TFF!G17-Raw_TFF!H17</f>
        <v/>
      </c>
      <c r="J17" s="7">
        <f>I17-I16</f>
        <v/>
      </c>
      <c r="K17" s="9">
        <f>I17/B17</f>
        <v/>
      </c>
      <c r="L17" s="7">
        <f>Raw_TFF!I17-Raw_TFF!J17</f>
        <v/>
      </c>
      <c r="M17" s="7">
        <f>L17-L16</f>
        <v/>
      </c>
      <c r="N17" s="9">
        <f>L17/B17</f>
        <v/>
      </c>
      <c r="O17" s="7">
        <f>Raw_TFF!K17-Raw_TFF!L17</f>
        <v/>
      </c>
      <c r="P17" s="7">
        <f>O17-O16</f>
        <v/>
      </c>
      <c r="Q17" s="9">
        <f>O17/B17</f>
        <v/>
      </c>
    </row>
    <row r="18">
      <c r="A18" s="6">
        <f>Raw_TFF!A18</f>
        <v/>
      </c>
      <c r="B18" s="7">
        <f>Raw_TFF!B18</f>
        <v/>
      </c>
      <c r="C18" s="7">
        <f>Raw_TFF!C18-Raw_TFF!D18</f>
        <v/>
      </c>
      <c r="D18" s="7">
        <f>C18-C17</f>
        <v/>
      </c>
      <c r="E18" s="9">
        <f>C18/B18</f>
        <v/>
      </c>
      <c r="F18" s="7">
        <f>Raw_TFF!E18-Raw_TFF!F18</f>
        <v/>
      </c>
      <c r="G18" s="7">
        <f>F18-F17</f>
        <v/>
      </c>
      <c r="H18" s="9">
        <f>F18/B18</f>
        <v/>
      </c>
      <c r="I18" s="7">
        <f>Raw_TFF!G18-Raw_TFF!H18</f>
        <v/>
      </c>
      <c r="J18" s="7">
        <f>I18-I17</f>
        <v/>
      </c>
      <c r="K18" s="9">
        <f>I18/B18</f>
        <v/>
      </c>
      <c r="L18" s="7">
        <f>Raw_TFF!I18-Raw_TFF!J18</f>
        <v/>
      </c>
      <c r="M18" s="7">
        <f>L18-L17</f>
        <v/>
      </c>
      <c r="N18" s="9">
        <f>L18/B18</f>
        <v/>
      </c>
      <c r="O18" s="7">
        <f>Raw_TFF!K18-Raw_TFF!L18</f>
        <v/>
      </c>
      <c r="P18" s="7">
        <f>O18-O17</f>
        <v/>
      </c>
      <c r="Q18" s="9">
        <f>O18/B18</f>
        <v/>
      </c>
    </row>
    <row r="19">
      <c r="A19" s="6">
        <f>Raw_TFF!A19</f>
        <v/>
      </c>
      <c r="B19" s="7">
        <f>Raw_TFF!B19</f>
        <v/>
      </c>
      <c r="C19" s="7">
        <f>Raw_TFF!C19-Raw_TFF!D19</f>
        <v/>
      </c>
      <c r="D19" s="7">
        <f>C19-C18</f>
        <v/>
      </c>
      <c r="E19" s="9">
        <f>C19/B19</f>
        <v/>
      </c>
      <c r="F19" s="7">
        <f>Raw_TFF!E19-Raw_TFF!F19</f>
        <v/>
      </c>
      <c r="G19" s="7">
        <f>F19-F18</f>
        <v/>
      </c>
      <c r="H19" s="9">
        <f>F19/B19</f>
        <v/>
      </c>
      <c r="I19" s="7">
        <f>Raw_TFF!G19-Raw_TFF!H19</f>
        <v/>
      </c>
      <c r="J19" s="7">
        <f>I19-I18</f>
        <v/>
      </c>
      <c r="K19" s="9">
        <f>I19/B19</f>
        <v/>
      </c>
      <c r="L19" s="7">
        <f>Raw_TFF!I19-Raw_TFF!J19</f>
        <v/>
      </c>
      <c r="M19" s="7">
        <f>L19-L18</f>
        <v/>
      </c>
      <c r="N19" s="9">
        <f>L19/B19</f>
        <v/>
      </c>
      <c r="O19" s="7">
        <f>Raw_TFF!K19-Raw_TFF!L19</f>
        <v/>
      </c>
      <c r="P19" s="7">
        <f>O19-O18</f>
        <v/>
      </c>
      <c r="Q19" s="9">
        <f>O19/B19</f>
        <v/>
      </c>
    </row>
    <row r="20">
      <c r="A20" s="10">
        <f>Raw_TFF!A20</f>
        <v/>
      </c>
      <c r="B20" s="11">
        <f>Raw_TFF!B20</f>
        <v/>
      </c>
      <c r="C20" s="11">
        <f>Raw_TFF!C20-Raw_TFF!D20</f>
        <v/>
      </c>
      <c r="D20" s="11">
        <f>C20-C19</f>
        <v/>
      </c>
      <c r="E20" s="12">
        <f>C20/B20</f>
        <v/>
      </c>
      <c r="F20" s="11">
        <f>Raw_TFF!E20-Raw_TFF!F20</f>
        <v/>
      </c>
      <c r="G20" s="11">
        <f>F20-F19</f>
        <v/>
      </c>
      <c r="H20" s="12">
        <f>F20/B20</f>
        <v/>
      </c>
      <c r="I20" s="11">
        <f>Raw_TFF!G20-Raw_TFF!H20</f>
        <v/>
      </c>
      <c r="J20" s="11">
        <f>I20-I19</f>
        <v/>
      </c>
      <c r="K20" s="12">
        <f>I20/B20</f>
        <v/>
      </c>
      <c r="L20" s="11">
        <f>Raw_TFF!I20-Raw_TFF!J20</f>
        <v/>
      </c>
      <c r="M20" s="11">
        <f>L20-L19</f>
        <v/>
      </c>
      <c r="N20" s="12">
        <f>L20/B20</f>
        <v/>
      </c>
      <c r="O20" s="11">
        <f>Raw_TFF!K20-Raw_TFF!L20</f>
        <v/>
      </c>
      <c r="P20" s="11">
        <f>O20-O19</f>
        <v/>
      </c>
      <c r="Q20" s="12">
        <f>O20/B20</f>
        <v/>
      </c>
    </row>
    <row r="21">
      <c r="A21" s="10">
        <f>Raw_TFF!A21</f>
        <v/>
      </c>
      <c r="B21" s="11">
        <f>Raw_TFF!B21</f>
        <v/>
      </c>
      <c r="C21" s="11">
        <f>Raw_TFF!C21-Raw_TFF!D21</f>
        <v/>
      </c>
      <c r="D21" s="11">
        <f>C21-C20</f>
        <v/>
      </c>
      <c r="E21" s="12">
        <f>C21/B21</f>
        <v/>
      </c>
      <c r="F21" s="11">
        <f>Raw_TFF!E21-Raw_TFF!F21</f>
        <v/>
      </c>
      <c r="G21" s="11">
        <f>F21-F20</f>
        <v/>
      </c>
      <c r="H21" s="12">
        <f>F21/B21</f>
        <v/>
      </c>
      <c r="I21" s="11">
        <f>Raw_TFF!G21-Raw_TFF!H21</f>
        <v/>
      </c>
      <c r="J21" s="11">
        <f>I21-I20</f>
        <v/>
      </c>
      <c r="K21" s="12">
        <f>I21/B21</f>
        <v/>
      </c>
      <c r="L21" s="11">
        <f>Raw_TFF!I21-Raw_TFF!J21</f>
        <v/>
      </c>
      <c r="M21" s="11">
        <f>L21-L20</f>
        <v/>
      </c>
      <c r="N21" s="12">
        <f>L21/B21</f>
        <v/>
      </c>
      <c r="O21" s="11">
        <f>Raw_TFF!K21-Raw_TFF!L21</f>
        <v/>
      </c>
      <c r="P21" s="11">
        <f>O21-O20</f>
        <v/>
      </c>
      <c r="Q21" s="12">
        <f>O21/B21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s>
  <sheetData>
    <row r="1">
      <c r="A1" s="1" t="inlineStr">
        <is>
          <t>Summary: leveraged funds in euro FX futures, 1 to 15 Sep 2026 (report of 18 Sep 2026)</t>
        </is>
      </c>
    </row>
    <row r="2">
      <c r="A2" s="2" t="inlineStr">
        <is>
          <t>Source: CFTC Public Reporting Environment, Traders in Financial Futures, Futures Only, EURO FX - CHICAGO MERCANTILE EXCHANGE (code 099741, contract of EUR 125,000). https://publicreporting.cftc.gov/Commitments-of-Traders/Traders-in-Financial-Futures-Futures-Only/gpe5-46if . Accessed 19 Oct 2026.</t>
        </is>
      </c>
    </row>
    <row r="3">
      <c r="A3" s="2" t="inlineStr">
        <is>
          <t>The 8 Sep print was taken two days before the 10 Sep decision; the 15 Sep print is the first one after it. All cells are formulas on Net_Positions and Raw_TFF.</t>
        </is>
      </c>
    </row>
    <row r="5" ht="42" customHeight="1">
      <c r="A5" s="3" t="inlineStr">
        <is>
          <t>Leveraged funds</t>
        </is>
      </c>
      <c r="B5" s="3" t="inlineStr">
        <is>
          <t>1 Sep 2026</t>
        </is>
      </c>
      <c r="C5" s="3" t="inlineStr">
        <is>
          <t>8 Sep 2026 (last before decision)</t>
        </is>
      </c>
      <c r="D5" s="3" t="inlineStr">
        <is>
          <t>15 Sep 2026 (first after decision)</t>
        </is>
      </c>
      <c r="E5" s="3" t="inlineStr">
        <is>
          <t>Change 1 to 8 Sep</t>
        </is>
      </c>
      <c r="F5" s="3" t="inlineStr">
        <is>
          <t>Change 8 to 15 Sep</t>
        </is>
      </c>
    </row>
    <row r="6">
      <c r="A6" s="13" t="inlineStr">
        <is>
          <t>Long contracts</t>
        </is>
      </c>
      <c r="B6" s="7">
        <f>Raw_TFF!G19</f>
        <v/>
      </c>
      <c r="C6" s="7">
        <f>Raw_TFF!G20</f>
        <v/>
      </c>
      <c r="D6" s="7">
        <f>Raw_TFF!G21</f>
        <v/>
      </c>
      <c r="E6" s="7">
        <f>C6-B6</f>
        <v/>
      </c>
      <c r="F6" s="7">
        <f>D6-C6</f>
        <v/>
      </c>
    </row>
    <row r="7">
      <c r="A7" s="13" t="inlineStr">
        <is>
          <t>Short contracts</t>
        </is>
      </c>
      <c r="B7" s="7">
        <f>Raw_TFF!H19</f>
        <v/>
      </c>
      <c r="C7" s="7">
        <f>Raw_TFF!H20</f>
        <v/>
      </c>
      <c r="D7" s="7">
        <f>Raw_TFF!H21</f>
        <v/>
      </c>
      <c r="E7" s="7">
        <f>C7-B7</f>
        <v/>
      </c>
      <c r="F7" s="7">
        <f>D7-C7</f>
        <v/>
      </c>
    </row>
    <row r="8">
      <c r="A8" s="13" t="inlineStr">
        <is>
          <t>Net position</t>
        </is>
      </c>
      <c r="B8" s="7">
        <f>Net_Positions!I19</f>
        <v/>
      </c>
      <c r="C8" s="7">
        <f>Net_Positions!I20</f>
        <v/>
      </c>
      <c r="D8" s="7">
        <f>Net_Positions!I21</f>
        <v/>
      </c>
      <c r="E8" s="7">
        <f>C8-B8</f>
        <v/>
      </c>
      <c r="F8" s="7">
        <f>D8-C8</f>
        <v/>
      </c>
    </row>
    <row r="9">
      <c r="A9" s="13" t="inlineStr">
        <is>
          <t>Open interest</t>
        </is>
      </c>
      <c r="B9" s="7">
        <f>Raw_TFF!B19</f>
        <v/>
      </c>
      <c r="C9" s="7">
        <f>Raw_TFF!B20</f>
        <v/>
      </c>
      <c r="D9" s="7">
        <f>Raw_TFF!B21</f>
        <v/>
      </c>
      <c r="E9" s="7">
        <f>C9-B9</f>
        <v/>
      </c>
      <c r="F9" s="7">
        <f>D9-C9</f>
        <v/>
      </c>
    </row>
    <row r="10">
      <c r="A10" s="13" t="inlineStr">
        <is>
          <t>Net % of open interest</t>
        </is>
      </c>
      <c r="B10" s="9">
        <f>Net_Positions!K19</f>
        <v/>
      </c>
      <c r="C10" s="9">
        <f>Net_Positions!K20</f>
        <v/>
      </c>
      <c r="D10" s="9">
        <f>Net_Positions!K21</f>
        <v/>
      </c>
      <c r="E10" s="14">
        <f>C10-B10</f>
        <v/>
      </c>
      <c r="F10" s="14">
        <f>D10-C10</f>
        <v/>
      </c>
    </row>
    <row r="12">
      <c r="A12" s="13" t="inlineStr">
        <is>
          <t>Net position by category</t>
        </is>
      </c>
    </row>
    <row r="13" ht="42" customHeight="1">
      <c r="A13" s="3" t="inlineStr">
        <is>
          <t>Category</t>
        </is>
      </c>
      <c r="B13" s="3" t="inlineStr">
        <is>
          <t>1 Sep 2026</t>
        </is>
      </c>
      <c r="C13" s="3" t="inlineStr">
        <is>
          <t>8 Sep 2026 (last before decision)</t>
        </is>
      </c>
      <c r="D13" s="3" t="inlineStr">
        <is>
          <t>15 Sep 2026 (first after decision)</t>
        </is>
      </c>
      <c r="E13" s="3" t="inlineStr">
        <is>
          <t>Change 1 to 8 Sep</t>
        </is>
      </c>
      <c r="F13" s="3" t="inlineStr">
        <is>
          <t>Change 8 to 15 Sep</t>
        </is>
      </c>
    </row>
    <row r="14">
      <c r="A14" s="13" t="inlineStr">
        <is>
          <t>Dealer</t>
        </is>
      </c>
      <c r="B14" s="7">
        <f>Net_Positions!C19</f>
        <v/>
      </c>
      <c r="C14" s="7">
        <f>Net_Positions!C20</f>
        <v/>
      </c>
      <c r="D14" s="7">
        <f>Net_Positions!C21</f>
        <v/>
      </c>
      <c r="E14" s="7">
        <f>C14-B14</f>
        <v/>
      </c>
      <c r="F14" s="7">
        <f>D14-C14</f>
        <v/>
      </c>
    </row>
    <row r="15">
      <c r="A15" s="13" t="inlineStr">
        <is>
          <t>Asset manager</t>
        </is>
      </c>
      <c r="B15" s="7">
        <f>Net_Positions!F19</f>
        <v/>
      </c>
      <c r="C15" s="7">
        <f>Net_Positions!F20</f>
        <v/>
      </c>
      <c r="D15" s="7">
        <f>Net_Positions!F21</f>
        <v/>
      </c>
      <c r="E15" s="7">
        <f>C15-B15</f>
        <v/>
      </c>
      <c r="F15" s="7">
        <f>D15-C15</f>
        <v/>
      </c>
    </row>
    <row r="16">
      <c r="A16" s="13" t="inlineStr">
        <is>
          <t>Leveraged funds</t>
        </is>
      </c>
      <c r="B16" s="7">
        <f>Net_Positions!I19</f>
        <v/>
      </c>
      <c r="C16" s="7">
        <f>Net_Positions!I20</f>
        <v/>
      </c>
      <c r="D16" s="7">
        <f>Net_Positions!I21</f>
        <v/>
      </c>
      <c r="E16" s="7">
        <f>C16-B16</f>
        <v/>
      </c>
      <c r="F16" s="7">
        <f>D16-C16</f>
        <v/>
      </c>
    </row>
    <row r="17">
      <c r="A17" s="13" t="inlineStr">
        <is>
          <t>Other reportable</t>
        </is>
      </c>
      <c r="B17" s="7">
        <f>Net_Positions!L19</f>
        <v/>
      </c>
      <c r="C17" s="7">
        <f>Net_Positions!L20</f>
        <v/>
      </c>
      <c r="D17" s="7">
        <f>Net_Positions!L21</f>
        <v/>
      </c>
      <c r="E17" s="7">
        <f>C17-B17</f>
        <v/>
      </c>
      <c r="F17" s="7">
        <f>D17-C17</f>
        <v/>
      </c>
    </row>
    <row r="18">
      <c r="A18" s="13" t="inlineStr">
        <is>
          <t>Nonreportable</t>
        </is>
      </c>
      <c r="B18" s="7">
        <f>Net_Positions!O19</f>
        <v/>
      </c>
      <c r="C18" s="7">
        <f>Net_Positions!O20</f>
        <v/>
      </c>
      <c r="D18" s="7">
        <f>Net_Positions!O21</f>
        <v/>
      </c>
      <c r="E18" s="7">
        <f>C18-B18</f>
        <v/>
      </c>
      <c r="F18" s="7">
        <f>D18-C18</f>
        <v/>
      </c>
    </row>
    <row r="20">
      <c r="A20" s="13" t="inlineStr">
        <is>
          <t>Leveraged funds net position, 14 weeks 16 Jun to 15 Sep 2026 (the chart window)</t>
        </is>
      </c>
    </row>
    <row r="21">
      <c r="A21" s="8" t="inlineStr">
        <is>
          <t>Lowest</t>
        </is>
      </c>
      <c r="B21" s="7">
        <f>MIN(Net_Positions!I8:I21)</f>
        <v/>
      </c>
    </row>
    <row r="22">
      <c r="A22" s="8" t="inlineStr">
        <is>
          <t>Highest</t>
        </is>
      </c>
      <c r="B22" s="7">
        <f>MAX(Net_Positions!I8:I21)</f>
        <v/>
      </c>
    </row>
    <row r="23">
      <c r="A23" s="8" t="inlineStr">
        <is>
          <t>Average</t>
        </is>
      </c>
      <c r="B23" s="7">
        <f>AVERAGE(Net_Positions!I8:I21)</f>
        <v/>
      </c>
    </row>
    <row r="25">
      <c r="A25" s="13" t="inlineStr">
        <is>
          <t>Notes</t>
        </is>
      </c>
    </row>
    <row r="26">
      <c r="A26" s="8" t="inlineStr">
        <is>
          <t>Category: Leveraged Funds in the CFTC Traders in Financial Futures report (hedge funds and other leveraged accounts). Asset managers, dealers, other reportables and nonreportables are shown for context.</t>
        </is>
      </c>
    </row>
    <row r="27">
      <c r="A27" s="8" t="inlineStr">
        <is>
          <t>Net is long minus short outright positions and excludes spreading, the same convention as the CFTC's net figures.</t>
        </is>
      </c>
    </row>
    <row r="28">
      <c r="A28" s="8" t="inlineStr">
        <is>
          <t>Positions are as of Tuesday and published the following Friday. The 15 Sep print falls in the quarterly contract roll week, when open interest moves for reasons unrelated to the decision.</t>
        </is>
      </c>
    </row>
    <row r="29">
      <c r="A29" s="8" t="inlineStr">
        <is>
          <t>Contract: EURO FX, CME, EUR 125,000 per contract, Futures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70" customWidth="1" min="1" max="1"/>
    <col width="95" customWidth="1" min="2" max="2"/>
    <col width="14" customWidth="1" min="3" max="3"/>
  </cols>
  <sheetData>
    <row r="1">
      <c r="A1" s="1" t="inlineStr">
        <is>
          <t>Sources</t>
        </is>
      </c>
    </row>
    <row r="3">
      <c r="A3" s="15" t="inlineStr">
        <is>
          <t>Source</t>
        </is>
      </c>
      <c r="B3" s="15" t="inlineStr">
        <is>
          <t>URL</t>
        </is>
      </c>
      <c r="C3" s="15" t="inlineStr">
        <is>
          <t>Accessed</t>
        </is>
      </c>
    </row>
    <row r="4">
      <c r="A4" s="8" t="inlineStr">
        <is>
          <t>CFTC Traders in Financial Futures, Futures Only, EURO FX (Public Reporting Environment dataset gpe5-46if)</t>
        </is>
      </c>
      <c r="B4" s="8" t="inlineStr">
        <is>
          <t>https://publicreporting.cftc.gov/Commitments-of-Traders/Traders-in-Financial-Futures-Futures-Only/gpe5-46if</t>
        </is>
      </c>
      <c r="C4" s="8" t="inlineStr">
        <is>
          <t>19 Oct 2026</t>
        </is>
      </c>
    </row>
    <row r="5">
      <c r="A5" s="8" t="inlineStr">
        <is>
          <t>CFTC Commitments of Traders landing page (report definitions and categories)</t>
        </is>
      </c>
      <c r="B5" s="8" t="inlineStr">
        <is>
          <t>https://www.cftc.gov/MarketReports/CommitmentsofTraders/index.htm</t>
        </is>
      </c>
      <c r="C5" s="8" t="inlineStr">
        <is>
          <t>19 Oct 2026</t>
        </is>
      </c>
    </row>
    <row r="6">
      <c r="A6" s="8" t="inlineStr">
        <is>
          <t>CFTC 2026 release schedule (15 Sep positions released Fri 18 Sep 2026, 3:30 p.m. ET)</t>
        </is>
      </c>
      <c r="B6" s="8" t="inlineStr">
        <is>
          <t>https://www.cftc.gov/MarketReports/CommitmentsofTraders/ReleaseSchedule/index.htm</t>
        </is>
      </c>
      <c r="C6" s="8" t="inlineStr">
        <is>
          <t>21 Oct 2026</t>
        </is>
      </c>
    </row>
    <row r="8">
      <c r="A8" s="2" t="n"/>
    </row>
    <row r="9">
      <c r="A9" t="inlineStr">
        <is>
          <t>Independent portfolio project built from public data. Not investment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Farrel Christian</dc:creator>
  <dc:title xmlns:dc="http://purl.org/dc/elements/1.1/">Weekly positioning, Saturday 19 September 2026: euro futures data</dc:title>
  <dcterms:created xmlns:dcterms="http://purl.org/dc/terms/" xmlns:xsi="http://www.w3.org/2001/XMLSchema-instance" xsi:type="dcterms:W3CDTF">2026-10-21T07:33:07Z</dcterms:created>
  <dcterms:modified xmlns:dcterms="http://purl.org/dc/terms/" xmlns:xsi="http://www.w3.org/2001/XMLSchema-instance" xsi:type="dcterms:W3CDTF">2026-10-21T07:33:07Z</dcterms:modified>
</cp:coreProperties>
</file>