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Meetings" sheetId="2" state="visible" r:id="rId4"/>
    <sheet name="Data" sheetId="3" state="visible" r:id="rId5"/>
    <sheet name="Sourc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<sst xmlns="http://schemas.openxmlformats.org/spreadsheetml/2006/main" count="132" uniqueCount="96">
  <si>
    <t xml:space="preserve">Does EUR/USD move more on ECB decision days than on a normal day?</t>
  </si>
  <si>
    <t xml:space="preserve">Eight Governing Council decisions, 30 Oct 2025 to 10 Sep 2026. Data to 18 Sep 2026. Every number below is a formula on the Meetings and Data sheets.</t>
  </si>
  <si>
    <t xml:space="preserve">Decision date</t>
  </si>
  <si>
    <t xml:space="preserve">Decision</t>
  </si>
  <si>
    <t xml:space="preserve">Matched expectation</t>
  </si>
  <si>
    <t xml:space="preserve">Change, decision day to next day</t>
  </si>
  <si>
    <t xml:space="preserve">Change, next 5 fixings</t>
  </si>
  <si>
    <t xml:space="preserve">Baseline: avg abs daily change, prior 60</t>
  </si>
  <si>
    <t xml:space="preserve">Ratio</t>
  </si>
  <si>
    <t xml:space="preserve">Ratio above 1.5</t>
  </si>
  <si>
    <t xml:space="preserve">Result</t>
  </si>
  <si>
    <t xml:space="preserve">Average ratio, 8 decision days</t>
  </si>
  <si>
    <t xml:space="preserve">Median ratio, 8 decision days</t>
  </si>
  <si>
    <t xml:space="preserve">Decision days with ratio above 1.5</t>
  </si>
  <si>
    <t xml:space="preserve">Share of decision days above 1.5</t>
  </si>
  <si>
    <t xml:space="preserve">Share of all days above 1.5 (benchmark, same method)</t>
  </si>
  <si>
    <t xml:space="preserve">Days in the benchmark</t>
  </si>
  <si>
    <t xml:space="preserve">Average abs next-day change, decision days</t>
  </si>
  <si>
    <t xml:space="preserve">Average baseline, decision days</t>
  </si>
  <si>
    <t xml:space="preserve">Method: the ECB reference rate is set around 14:15 CET, the same time as the decision, so the next day's fixing is the first that includes the reaction. Ratio = absolute change from decision day to next day, divided by the average absolute daily change over the 60 fixings up to and including decision day. Ratios above 1.5 are flagged. The benchmark applies the same ratio to every day in the data with a full 60-day window.</t>
  </si>
  <si>
    <t xml:space="preserve">Limits: one fixing a day, so intraday moves are invisible; other news on the same day (US data, energy prices) is mixed in; 8 meetings is a small sample; expectations come from the ECB's own accounts, published about four weeks after each meeting.</t>
  </si>
  <si>
    <t xml:space="preserve">Flag threshold (input: change it and every flag recalculates)</t>
  </si>
  <si>
    <t xml:space="preserve">Eight ECB decision days: EUR/USD reaction against a normal day</t>
  </si>
  <si>
    <t xml:space="preserve">The reference rate is set around 14:15 CET, the time of the decision, so the decision-day fixing is a pre-reaction level and the next fixing is the first that includes the reaction. All black cells are formulas on the Data sheet.</t>
  </si>
  <si>
    <t xml:space="preserve">Public expectation before the meeting (ECB account)</t>
  </si>
  <si>
    <t xml:space="preserve">Row in Data</t>
  </si>
  <si>
    <t xml:space="preserve">Decision-day fixing</t>
  </si>
  <si>
    <t xml:space="preserve">Next fixing date</t>
  </si>
  <si>
    <t xml:space="preserve">Next fixing</t>
  </si>
  <si>
    <t xml:space="preserve">Fifth fixing date</t>
  </si>
  <si>
    <t xml:space="preserve">Fifth fixing</t>
  </si>
  <si>
    <t xml:space="preserve">Ratio (abs next-day change / baseline)</t>
  </si>
  <si>
    <t xml:space="preserve">Hold, deposit rate 2.00%</t>
  </si>
  <si>
    <t xml:space="preserve">Market pricing attached zero probability to a rate cut at the October meeting</t>
  </si>
  <si>
    <t xml:space="preserve">Yes</t>
  </si>
  <si>
    <t xml:space="preserve">Zero probability attached to a cut at the December meeting; further cuts priced out</t>
  </si>
  <si>
    <t xml:space="preserve">The ECB was expected to keep rates unchanged in 2026</t>
  </si>
  <si>
    <t xml:space="preserve">Close to two 25bp hikes priced by end-2026, the first expected around June</t>
  </si>
  <si>
    <t xml:space="preserve">One 25bp hike fully priced by June; the account calls the hold a close call</t>
  </si>
  <si>
    <t xml:space="preserve">Partly</t>
  </si>
  <si>
    <t xml:space="preserve">Hike 25bp, deposit rate 2.25%</t>
  </si>
  <si>
    <t xml:space="preserve">One hike fully priced in for the June meeting</t>
  </si>
  <si>
    <t xml:space="preserve">Hold, deposit rate 2.25%</t>
  </si>
  <si>
    <t xml:space="preserve">Next hike almost fully priced in for September</t>
  </si>
  <si>
    <t xml:space="preserve">Hike 25bp, deposit rate 2.50%</t>
  </si>
  <si>
    <t xml:space="preserve">September hike almost fully priced in (as at the July meeting)</t>
  </si>
  <si>
    <t xml:space="preserve">ECB euro reference rate, US dollar per euro, daily</t>
  </si>
  <si>
    <t xml:space="preserve">Source: ECB euro foreign exchange reference rates, US dollar per euro (series EXR.D.USD.EUR.SP00.A), ECB Data Portal, https://data-api.ecb.europa.eu/service/data/EXR/D.USD.EUR.SP00.A . Accessed 21 Oct 2026.</t>
  </si>
  <si>
    <t xml:space="preserve">Blue = value copied from the ECB series. Black = formula. Daily change = rate / previous fixing - 1. Baseline = average absolute daily change over the 60 fixings before that day's change. Ratio = absolute change / baseline.</t>
  </si>
  <si>
    <t xml:space="preserve">Date</t>
  </si>
  <si>
    <t xml:space="preserve">USD per EUR</t>
  </si>
  <si>
    <t xml:space="preserve">Daily change</t>
  </si>
  <si>
    <t xml:space="preserve">Absolute change</t>
  </si>
  <si>
    <t xml:space="preserve">Baseline: avg abs change, prior 60</t>
  </si>
  <si>
    <t xml:space="preserve">Ratio above 1.5 (1 = yes)</t>
  </si>
  <si>
    <t xml:space="preserve">Sources</t>
  </si>
  <si>
    <t xml:space="preserve">Item</t>
  </si>
  <si>
    <t xml:space="preserve">URL</t>
  </si>
  <si>
    <t xml:space="preserve">Accessed</t>
  </si>
  <si>
    <t xml:space="preserve">ECB euro reference rates, USD per EUR (ECB Data Portal, EXR.D.USD.EUR.SP00.A)</t>
  </si>
  <si>
    <t xml:space="preserve">https://data-api.ecb.europa.eu/service/data/EXR/D.USD.EUR.SP00.A</t>
  </si>
  <si>
    <t xml:space="preserve">21 Oct 2026</t>
  </si>
  <si>
    <t xml:space="preserve">ECB, monetary policy decisions published at 14:15 CET</t>
  </si>
  <si>
    <t xml:space="preserve">https://www.ecb.europa.eu/press/govcdec/mopo/html/index.en.html</t>
  </si>
  <si>
    <t xml:space="preserve">ECB press release, monetary policy decisions, 2025-10-30</t>
  </si>
  <si>
    <t xml:space="preserve">https://www.ecb.europa.eu/press/pr/date/2025/html/ecb.mp251030~cf0540b5c0.en.html</t>
  </si>
  <si>
    <t xml:space="preserve">ECB account of the meeting decided on 2025-10-30 (market pricing before the meeting)</t>
  </si>
  <si>
    <t xml:space="preserve">https://www.ecb.europa.eu/press/accounts/2025/html/ecb.mg251127~dc88fc4bec.en.html</t>
  </si>
  <si>
    <t xml:space="preserve">ECB press release, monetary policy decisions, 2025-12-18</t>
  </si>
  <si>
    <t xml:space="preserve">https://www.ecb.europa.eu/press/pr/date/2025/html/ecb.mp251218~58b0e415a6.en.html</t>
  </si>
  <si>
    <t xml:space="preserve">ECB account of the meeting decided on 2025-12-18 (market pricing before the meeting)</t>
  </si>
  <si>
    <t xml:space="preserve">https://www.ecb.europa.eu/press/accounts/2026/html/ecb.mg260122~5ca84e0f51.en.html</t>
  </si>
  <si>
    <t xml:space="preserve">ECB press release, monetary policy decisions, 2026-02-05</t>
  </si>
  <si>
    <t xml:space="preserve">https://www.ecb.europa.eu/press/pr/date/2026/html/ecb.mp260205~001d26959b.en.html</t>
  </si>
  <si>
    <t xml:space="preserve">ECB account of the meeting decided on 2026-02-05 (market pricing before the meeting)</t>
  </si>
  <si>
    <t xml:space="preserve">https://www.ecb.europa.eu/press/accounts/2026/html/ecb.mg260305~4a9b7afe1c.en.html</t>
  </si>
  <si>
    <t xml:space="preserve">ECB press release, monetary policy decisions, 2026-03-19</t>
  </si>
  <si>
    <t xml:space="preserve">https://www.ecb.europa.eu/press/pr/date/2026/html/ecb.mp260319~3057739775.en.html</t>
  </si>
  <si>
    <t xml:space="preserve">ECB account of the meeting decided on 2026-03-19 (market pricing before the meeting)</t>
  </si>
  <si>
    <t xml:space="preserve">https://www.ecb.europa.eu/press/accounts/2026/html/ecb.mg260416~6a27b0c258.en.html</t>
  </si>
  <si>
    <t xml:space="preserve">ECB press release, monetary policy decisions, 2026-04-30</t>
  </si>
  <si>
    <t xml:space="preserve">https://www.ecb.europa.eu/press/pr/date/2026/html/ecb.mp260430~81b7179e6f.en.html</t>
  </si>
  <si>
    <t xml:space="preserve">ECB account of the meeting decided on 2026-04-30 (market pricing before the meeting)</t>
  </si>
  <si>
    <t xml:space="preserve">https://www.ecb.europa.eu/press/accounts/2026/html/ecb.mg260528~a93230dc4b.en.html</t>
  </si>
  <si>
    <t xml:space="preserve">ECB press release, monetary policy decisions, 2026-06-11</t>
  </si>
  <si>
    <t xml:space="preserve">https://www.ecb.europa.eu/press/pr/date/2026/html/ecb.mp260611~4d41bd5e83.en.html</t>
  </si>
  <si>
    <t xml:space="preserve">ECB account of the meeting decided on 2026-06-11 (market pricing before the meeting)</t>
  </si>
  <si>
    <t xml:space="preserve">https://www.ecb.europa.eu/press/accounts/2026/html/ecb.mg260709~0e7f8241c9.en.html</t>
  </si>
  <si>
    <t xml:space="preserve">ECB press release, monetary policy decisions, 2026-07-23</t>
  </si>
  <si>
    <t xml:space="preserve">https://www.ecb.europa.eu/press/pr/date/2026/html/ecb.mp260723~29f24d99bc.en.html</t>
  </si>
  <si>
    <t xml:space="preserve">ECB account of the meeting decided on 2026-07-23 (market pricing before the meeting)</t>
  </si>
  <si>
    <t xml:space="preserve">https://www.ecb.europa.eu/press/accounts/2026/html/ecb.mg260827~f06c21fd54.en.html</t>
  </si>
  <si>
    <t xml:space="preserve">ECB press release, monetary policy decisions, 2026-09-10</t>
  </si>
  <si>
    <t xml:space="preserve">https://www.ecb.europa.eu/press/pr/date/2026/html/ecb.mp260910~314e508016.en.html</t>
  </si>
  <si>
    <t xml:space="preserve">ECB account of the meeting decided on 2026-09-10 (market pricing before the meeting)</t>
  </si>
  <si>
    <t xml:space="preserve">Independent portfolio project built from public data. Not investment advice.</t>
  </si>
</sst>
</file>

<file path=xl/styles.xml><?xml version="1.0" encoding="utf-8"?>
<styleSheet xmlns="http://schemas.openxmlformats.org/spreadsheetml/2006/main">
  <numFmts count="8">
    <numFmt numFmtId="164" formatCode="General"/>
    <numFmt numFmtId="165" formatCode="dd\ mmm\ yyyy"/>
    <numFmt numFmtId="166" formatCode="0.00%;\-0.00%;0.00%"/>
    <numFmt numFmtId="167" formatCode="0.000%"/>
    <numFmt numFmtId="168" formatCode="0.00"/>
    <numFmt numFmtId="169" formatCode="0"/>
    <numFmt numFmtId="170" formatCode="0.0%"/>
    <numFmt numFmtId="171" formatCode="0.0000"/>
  </numFmts>
  <fonts count="14">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555555"/>
      <name val="Arial"/>
      <family val="0"/>
      <charset val="1"/>
    </font>
    <font>
      <b val="true"/>
      <sz val="10"/>
      <color rgb="FFFFFFFF"/>
      <name val="Arial"/>
      <family val="0"/>
      <charset val="1"/>
    </font>
    <font>
      <sz val="10"/>
      <color rgb="FF008000"/>
      <name val="Arial"/>
      <family val="0"/>
      <charset val="1"/>
    </font>
    <font>
      <b val="true"/>
      <sz val="10"/>
      <name val="Arial"/>
      <family val="0"/>
      <charset val="1"/>
    </font>
    <font>
      <sz val="10"/>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0F9488"/>
        <bgColor rgb="FF008080"/>
      </patternFill>
    </fill>
    <fill>
      <patternFill patternType="solid">
        <fgColor rgb="FFD7F5F0"/>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5" fontId="7"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67" fontId="7" fillId="3" borderId="0" xfId="0" applyFont="true" applyBorder="false" applyAlignment="false" applyProtection="false">
      <alignment horizontal="general" vertical="bottom" textRotation="0" wrapText="false" indent="0" shrinkToFit="false"/>
      <protection locked="true" hidden="false"/>
    </xf>
    <xf numFmtId="168"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71" fontId="9" fillId="0" borderId="0" xfId="0" applyFont="true" applyBorder="false" applyAlignment="true" applyProtection="false">
      <alignment horizontal="general" vertical="top" textRotation="0" wrapText="false" indent="0" shrinkToFit="false"/>
      <protection locked="true" hidden="false"/>
    </xf>
    <xf numFmtId="165" fontId="9" fillId="0" borderId="0" xfId="0" applyFont="true" applyBorder="false" applyAlignment="true" applyProtection="false">
      <alignment horizontal="general" vertical="top" textRotation="0" wrapText="false" indent="0" shrinkToFit="false"/>
      <protection locked="true" hidden="false"/>
    </xf>
    <xf numFmtId="166" fontId="9" fillId="0" borderId="0" xfId="0" applyFont="true" applyBorder="false" applyAlignment="true" applyProtection="false">
      <alignment horizontal="general" vertical="top" textRotation="0" wrapText="false" indent="0" shrinkToFit="false"/>
      <protection locked="true" hidden="false"/>
    </xf>
    <xf numFmtId="167" fontId="9" fillId="0" borderId="0" xfId="0" applyFont="true" applyBorder="false" applyAlignment="true" applyProtection="false">
      <alignment horizontal="general" vertical="top" textRotation="0" wrapText="false" indent="0" shrinkToFit="false"/>
      <protection locked="true" hidden="false"/>
    </xf>
    <xf numFmtId="168" fontId="9" fillId="0" borderId="0" xfId="0" applyFont="true" applyBorder="false" applyAlignment="true" applyProtection="false">
      <alignment horizontal="general" vertical="top" textRotation="0" wrapText="false" indent="0" shrinkToFit="false"/>
      <protection locked="true" hidden="false"/>
    </xf>
    <xf numFmtId="165" fontId="10" fillId="3"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general" vertical="top" textRotation="0" wrapText="false" indent="0" shrinkToFit="false"/>
      <protection locked="true" hidden="false"/>
    </xf>
    <xf numFmtId="171" fontId="9" fillId="3" borderId="0" xfId="0" applyFont="true" applyBorder="false" applyAlignment="true" applyProtection="false">
      <alignment horizontal="general" vertical="top" textRotation="0" wrapText="false" indent="0" shrinkToFit="false"/>
      <protection locked="true" hidden="false"/>
    </xf>
    <xf numFmtId="165" fontId="9" fillId="3" borderId="0" xfId="0" applyFont="true" applyBorder="false" applyAlignment="true" applyProtection="false">
      <alignment horizontal="general" vertical="top" textRotation="0" wrapText="false" indent="0" shrinkToFit="false"/>
      <protection locked="true" hidden="false"/>
    </xf>
    <xf numFmtId="166" fontId="9" fillId="3" borderId="0" xfId="0" applyFont="true" applyBorder="false" applyAlignment="true" applyProtection="false">
      <alignment horizontal="general" vertical="top" textRotation="0" wrapText="false" indent="0" shrinkToFit="false"/>
      <protection locked="true" hidden="false"/>
    </xf>
    <xf numFmtId="167" fontId="9" fillId="3" borderId="0" xfId="0" applyFont="true" applyBorder="false" applyAlignment="true" applyProtection="false">
      <alignment horizontal="general" vertical="top" textRotation="0" wrapText="false" indent="0" shrinkToFit="false"/>
      <protection locked="true" hidden="false"/>
    </xf>
    <xf numFmtId="168" fontId="9" fillId="3" borderId="0" xfId="0" applyFont="true" applyBorder="false" applyAlignment="true" applyProtection="false">
      <alignment horizontal="general" vertical="top"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9488"/>
      <rgbColor rgb="FFC0C0C0"/>
      <rgbColor rgb="FF878787"/>
      <rgbColor rgb="FF9999FF"/>
      <rgbColor rgb="FF993366"/>
      <rgbColor rgb="FFFFFFCC"/>
      <rgbColor rgb="FFD7F5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Next-day move as a multiple of a normal day</a:t>
            </a:r>
          </a:p>
        </c:rich>
      </c:tx>
      <c:overlay val="0"/>
      <c:spPr>
        <a:noFill/>
        <a:ln w="0">
          <a:noFill/>
        </a:ln>
      </c:spPr>
    </c:title>
    <c:autoTitleDeleted val="0"/>
    <c:plotArea>
      <c:barChart>
        <c:barDir val="col"/>
        <c:grouping val="clustered"/>
        <c:varyColors val="0"/>
        <c:ser>
          <c:idx val="0"/>
          <c:order val="0"/>
          <c:tx>
            <c:strRef>
              <c:f>Summary!G4</c:f>
              <c:strCache>
                <c:ptCount val="1"/>
                <c:pt idx="0">
                  <c:v>Ratio</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Summary!$A$5:$A$12</c:f>
              <c:strCache>
                <c:ptCount val="8"/>
                <c:pt idx="0">
                  <c:v>30 Oct 2025</c:v>
                </c:pt>
                <c:pt idx="1">
                  <c:v>18 Dec 2025</c:v>
                </c:pt>
                <c:pt idx="2">
                  <c:v>05 Feb 2026</c:v>
                </c:pt>
                <c:pt idx="3">
                  <c:v>19 Mar 2026</c:v>
                </c:pt>
                <c:pt idx="4">
                  <c:v>30 Apr 2026</c:v>
                </c:pt>
                <c:pt idx="5">
                  <c:v>11 Jun 2026</c:v>
                </c:pt>
                <c:pt idx="6">
                  <c:v>23 Jul 2026</c:v>
                </c:pt>
                <c:pt idx="7">
                  <c:v>10 Sep 2026</c:v>
                </c:pt>
              </c:strCache>
            </c:strRef>
          </c:cat>
          <c:val>
            <c:numRef>
              <c:f>Summary!$G$5:$G$12</c:f>
              <c:numCache>
                <c:formatCode>0.00</c:formatCode>
                <c:ptCount val="8"/>
                <c:pt idx="0">
                  <c:v>0.121983535417013</c:v>
                </c:pt>
                <c:pt idx="1">
                  <c:v>0.255433365941681</c:v>
                </c:pt>
                <c:pt idx="2">
                  <c:v>0.132503002722858</c:v>
                </c:pt>
                <c:pt idx="3">
                  <c:v>1.92660151127674</c:v>
                </c:pt>
                <c:pt idx="4">
                  <c:v>0.0536417251269462</c:v>
                </c:pt>
                <c:pt idx="5">
                  <c:v>0.962279314481014</c:v>
                </c:pt>
                <c:pt idx="6">
                  <c:v>0.629172023945304</c:v>
                </c:pt>
                <c:pt idx="7">
                  <c:v>1.03904555130877</c:v>
                </c:pt>
              </c:numCache>
            </c:numRef>
          </c:val>
        </c:ser>
        <c:gapWidth val="150"/>
        <c:overlap val="0"/>
        <c:axId val="4844232"/>
        <c:axId val="25256367"/>
      </c:barChart>
      <c:catAx>
        <c:axId val="4844232"/>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Decision date</a:t>
                </a:r>
              </a:p>
            </c:rich>
          </c:tx>
          <c:overlay val="0"/>
          <c:spPr>
            <a:noFill/>
            <a:ln w="0">
              <a:noFill/>
            </a:ln>
          </c:spPr>
        </c:title>
        <c:numFmt formatCode="dd\ mmm\ yy"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256367"/>
        <c:crosses val="autoZero"/>
        <c:auto val="1"/>
        <c:lblAlgn val="ctr"/>
        <c:lblOffset val="100"/>
        <c:noMultiLvlLbl val="0"/>
      </c:catAx>
      <c:valAx>
        <c:axId val="25256367"/>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Ratio</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844232"/>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13</xdr:row>
      <xdr:rowOff>0</xdr:rowOff>
    </xdr:from>
    <xdr:to>
      <xdr:col>11</xdr:col>
      <xdr:colOff>345240</xdr:colOff>
      <xdr:row>28</xdr:row>
      <xdr:rowOff>21960</xdr:rowOff>
    </xdr:to>
    <xdr:graphicFrame>
      <xdr:nvGraphicFramePr>
        <xdr:cNvPr id="1" name="Chart 1"/>
        <xdr:cNvGraphicFramePr/>
      </xdr:nvGraphicFramePr>
      <xdr:xfrm>
        <a:off x="5638680" y="285300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24"/>
    <col collapsed="false" customWidth="true" hidden="false" outlineLevel="0" max="3" min="3" style="0" width="12"/>
    <col collapsed="false" customWidth="true" hidden="false" outlineLevel="0" max="4" min="4" style="0" width="14"/>
    <col collapsed="false" customWidth="true" hidden="false" outlineLevel="0" max="5" min="5" style="0" width="13"/>
    <col collapsed="false" customWidth="true" hidden="false" outlineLevel="0" max="6" min="6" style="0" width="16"/>
    <col collapsed="false" customWidth="true" hidden="false" outlineLevel="0" max="7" min="7" style="0" width="8"/>
    <col collapsed="false" customWidth="true" hidden="false" outlineLevel="0" max="8" min="8" style="0" width="10"/>
  </cols>
  <sheetData>
    <row r="1" customFormat="false" ht="16.15" hidden="false" customHeight="false" outlineLevel="0" collapsed="false">
      <c r="A1" s="1" t="s">
        <v>0</v>
      </c>
    </row>
    <row r="2" customFormat="false" ht="15" hidden="false" customHeight="false" outlineLevel="0" collapsed="false">
      <c r="A2" s="2" t="s">
        <v>1</v>
      </c>
    </row>
    <row r="4" customFormat="false" ht="43.5" hidden="false" customHeight="true" outlineLevel="0" collapsed="false">
      <c r="A4" s="3" t="s">
        <v>2</v>
      </c>
      <c r="B4" s="3" t="s">
        <v>3</v>
      </c>
      <c r="C4" s="3" t="s">
        <v>4</v>
      </c>
      <c r="D4" s="3" t="s">
        <v>5</v>
      </c>
      <c r="E4" s="3" t="s">
        <v>6</v>
      </c>
      <c r="F4" s="3" t="s">
        <v>7</v>
      </c>
      <c r="G4" s="3" t="s">
        <v>8</v>
      </c>
      <c r="H4" s="3" t="s">
        <v>9</v>
      </c>
    </row>
    <row r="5" customFormat="false" ht="15" hidden="false" customHeight="false" outlineLevel="0" collapsed="false">
      <c r="A5" s="4" t="n">
        <f aca="false">Meetings!A5</f>
        <v>45960</v>
      </c>
      <c r="B5" s="5" t="str">
        <f aca="false">Meetings!B5</f>
        <v>Hold, deposit rate 2.00%</v>
      </c>
      <c r="C5" s="5" t="str">
        <f aca="false">Meetings!D5</f>
        <v>Yes</v>
      </c>
      <c r="D5" s="6" t="n">
        <f aca="false">Meetings!I5</f>
        <v>0.000346320346320317</v>
      </c>
      <c r="E5" s="6" t="n">
        <f aca="false">Meetings!L5</f>
        <v>-0.00147186147186151</v>
      </c>
      <c r="F5" s="7" t="n">
        <f aca="false">Meetings!M5</f>
        <v>0.00283907451228057</v>
      </c>
      <c r="G5" s="8" t="n">
        <f aca="false">Meetings!N5</f>
        <v>0.121983535417013</v>
      </c>
      <c r="H5" s="5" t="str">
        <f aca="false">Meetings!O5</f>
        <v>No</v>
      </c>
    </row>
    <row r="6" customFormat="false" ht="15" hidden="false" customHeight="false" outlineLevel="0" collapsed="false">
      <c r="A6" s="4" t="n">
        <f aca="false">Meetings!A6</f>
        <v>46009</v>
      </c>
      <c r="B6" s="5" t="str">
        <f aca="false">Meetings!B6</f>
        <v>Hold, deposit rate 2.00%</v>
      </c>
      <c r="C6" s="5" t="str">
        <f aca="false">Meetings!D6</f>
        <v>Yes</v>
      </c>
      <c r="D6" s="6" t="n">
        <f aca="false">Meetings!I6</f>
        <v>-0.000597320590493999</v>
      </c>
      <c r="E6" s="6" t="n">
        <f aca="false">Meetings!L6</f>
        <v>0.00401058110760322</v>
      </c>
      <c r="F6" s="7" t="n">
        <f aca="false">Meetings!M6</f>
        <v>0.0023384595363723</v>
      </c>
      <c r="G6" s="8" t="n">
        <f aca="false">Meetings!N6</f>
        <v>0.255433365941681</v>
      </c>
      <c r="H6" s="5" t="str">
        <f aca="false">Meetings!O6</f>
        <v>No</v>
      </c>
    </row>
    <row r="7" customFormat="false" ht="15" hidden="false" customHeight="false" outlineLevel="0" collapsed="false">
      <c r="A7" s="4" t="n">
        <f aca="false">Meetings!A7</f>
        <v>46058</v>
      </c>
      <c r="B7" s="5" t="str">
        <f aca="false">Meetings!B7</f>
        <v>Hold, deposit rate 2.00%</v>
      </c>
      <c r="C7" s="5" t="str">
        <f aca="false">Meetings!D7</f>
        <v>Yes</v>
      </c>
      <c r="D7" s="6" t="n">
        <f aca="false">Meetings!I7</f>
        <v>-0.000339040515341504</v>
      </c>
      <c r="E7" s="6" t="n">
        <f aca="false">Meetings!L7</f>
        <v>0.00644176979149003</v>
      </c>
      <c r="F7" s="7" t="n">
        <f aca="false">Meetings!M7</f>
        <v>0.00255873835591966</v>
      </c>
      <c r="G7" s="8" t="n">
        <f aca="false">Meetings!N7</f>
        <v>0.132503002722858</v>
      </c>
      <c r="H7" s="5" t="str">
        <f aca="false">Meetings!O7</f>
        <v>No</v>
      </c>
    </row>
    <row r="8" customFormat="false" ht="15" hidden="false" customHeight="false" outlineLevel="0" collapsed="false">
      <c r="A8" s="4" t="n">
        <f aca="false">Meetings!A8</f>
        <v>46100</v>
      </c>
      <c r="B8" s="5" t="str">
        <f aca="false">Meetings!B8</f>
        <v>Hold, deposit rate 2.00%</v>
      </c>
      <c r="C8" s="5" t="str">
        <f aca="false">Meetings!D8</f>
        <v>Yes</v>
      </c>
      <c r="D8" s="6" t="n">
        <f aca="false">Meetings!I8</f>
        <v>0.00574462529375919</v>
      </c>
      <c r="E8" s="6" t="n">
        <f aca="false">Meetings!L8</f>
        <v>0.00435198885890853</v>
      </c>
      <c r="F8" s="7" t="n">
        <f aca="false">Meetings!M8</f>
        <v>0.00298174026135393</v>
      </c>
      <c r="G8" s="8" t="n">
        <f aca="false">Meetings!N8</f>
        <v>1.92660151127674</v>
      </c>
      <c r="H8" s="5" t="str">
        <f aca="false">Meetings!O8</f>
        <v>Yes</v>
      </c>
    </row>
    <row r="9" customFormat="false" ht="15" hidden="false" customHeight="false" outlineLevel="0" collapsed="false">
      <c r="A9" s="4" t="n">
        <f aca="false">Meetings!A9</f>
        <v>46142</v>
      </c>
      <c r="B9" s="5" t="str">
        <f aca="false">Meetings!B9</f>
        <v>Hold, deposit rate 2.00%</v>
      </c>
      <c r="C9" s="5" t="str">
        <f aca="false">Meetings!D9</f>
        <v>Partly</v>
      </c>
      <c r="D9" s="6" t="n">
        <f aca="false">Meetings!I9</f>
        <v>-0.000170910955392234</v>
      </c>
      <c r="E9" s="6" t="n">
        <f aca="false">Meetings!L9</f>
        <v>0.00504187318407112</v>
      </c>
      <c r="F9" s="7" t="n">
        <f aca="false">Meetings!M9</f>
        <v>0.00318615695128677</v>
      </c>
      <c r="G9" s="8" t="n">
        <f aca="false">Meetings!N9</f>
        <v>0.0536417251269462</v>
      </c>
      <c r="H9" s="5" t="str">
        <f aca="false">Meetings!O9</f>
        <v>No</v>
      </c>
    </row>
    <row r="10" customFormat="false" ht="15" hidden="false" customHeight="false" outlineLevel="0" collapsed="false">
      <c r="A10" s="4" t="n">
        <f aca="false">Meetings!A10</f>
        <v>46184</v>
      </c>
      <c r="B10" s="5" t="str">
        <f aca="false">Meetings!B10</f>
        <v>Hike 25bp, deposit rate 2.25%</v>
      </c>
      <c r="C10" s="5" t="str">
        <f aca="false">Meetings!D10</f>
        <v>Yes</v>
      </c>
      <c r="D10" s="6" t="n">
        <f aca="false">Meetings!I10</f>
        <v>0.00260032937505428</v>
      </c>
      <c r="E10" s="6" t="n">
        <f aca="false">Meetings!L10</f>
        <v>-0.00658750108347062</v>
      </c>
      <c r="F10" s="7" t="n">
        <f aca="false">Meetings!M10</f>
        <v>0.00270226049331292</v>
      </c>
      <c r="G10" s="8" t="n">
        <f aca="false">Meetings!N10</f>
        <v>0.962279314481014</v>
      </c>
      <c r="H10" s="5" t="str">
        <f aca="false">Meetings!O10</f>
        <v>No</v>
      </c>
    </row>
    <row r="11" customFormat="false" ht="15" hidden="false" customHeight="false" outlineLevel="0" collapsed="false">
      <c r="A11" s="4" t="n">
        <f aca="false">Meetings!A11</f>
        <v>46226</v>
      </c>
      <c r="B11" s="5" t="str">
        <f aca="false">Meetings!B11</f>
        <v>Hold, deposit rate 2.25%</v>
      </c>
      <c r="C11" s="5" t="str">
        <f aca="false">Meetings!D11</f>
        <v>Yes</v>
      </c>
      <c r="D11" s="6" t="n">
        <f aca="false">Meetings!I11</f>
        <v>-0.0013167134831461</v>
      </c>
      <c r="E11" s="6" t="n">
        <f aca="false">Meetings!L11</f>
        <v>0.007373595505618</v>
      </c>
      <c r="F11" s="7" t="n">
        <f aca="false">Meetings!M11</f>
        <v>0.00209277182238569</v>
      </c>
      <c r="G11" s="8" t="n">
        <f aca="false">Meetings!N11</f>
        <v>0.629172023945304</v>
      </c>
      <c r="H11" s="5" t="str">
        <f aca="false">Meetings!O11</f>
        <v>No</v>
      </c>
    </row>
    <row r="12" customFormat="false" ht="15" hidden="false" customHeight="false" outlineLevel="0" collapsed="false">
      <c r="A12" s="9" t="n">
        <f aca="false">Meetings!A12</f>
        <v>46275</v>
      </c>
      <c r="B12" s="10" t="str">
        <f aca="false">Meetings!B12</f>
        <v>Hike 25bp, deposit rate 2.50%</v>
      </c>
      <c r="C12" s="10" t="str">
        <f aca="false">Meetings!D12</f>
        <v>Yes</v>
      </c>
      <c r="D12" s="11" t="n">
        <f aca="false">Meetings!I12</f>
        <v>-0.00206611570247928</v>
      </c>
      <c r="E12" s="11" t="n">
        <f aca="false">Meetings!L12</f>
        <v>-0.0116219008264463</v>
      </c>
      <c r="F12" s="12" t="n">
        <f aca="false">Meetings!M12</f>
        <v>0.00198847461487788</v>
      </c>
      <c r="G12" s="13" t="n">
        <f aca="false">Meetings!N12</f>
        <v>1.03904555130877</v>
      </c>
      <c r="H12" s="10" t="str">
        <f aca="false">Meetings!O12</f>
        <v>No</v>
      </c>
    </row>
    <row r="14" customFormat="false" ht="15" hidden="false" customHeight="false" outlineLevel="0" collapsed="false">
      <c r="A14" s="14" t="s">
        <v>10</v>
      </c>
    </row>
    <row r="15" customFormat="false" ht="15" hidden="false" customHeight="false" outlineLevel="0" collapsed="false">
      <c r="A15" s="15" t="s">
        <v>11</v>
      </c>
      <c r="B15" s="16" t="n">
        <f aca="false">AVERAGE(G5:G12)</f>
        <v>0.640082503777541</v>
      </c>
    </row>
    <row r="16" customFormat="false" ht="15" hidden="false" customHeight="false" outlineLevel="0" collapsed="false">
      <c r="A16" s="15" t="s">
        <v>12</v>
      </c>
      <c r="B16" s="16" t="n">
        <f aca="false">MEDIAN(G5:G12)</f>
        <v>0.442302694943492</v>
      </c>
    </row>
    <row r="17" customFormat="false" ht="15" hidden="false" customHeight="false" outlineLevel="0" collapsed="false">
      <c r="A17" s="15" t="s">
        <v>13</v>
      </c>
      <c r="B17" s="17" t="n">
        <f aca="false">COUNTIF(H5:H12,"Yes")</f>
        <v>1</v>
      </c>
    </row>
    <row r="18" customFormat="false" ht="15" hidden="false" customHeight="false" outlineLevel="0" collapsed="false">
      <c r="A18" s="15" t="s">
        <v>14</v>
      </c>
      <c r="B18" s="18" t="n">
        <f aca="false">B17/8</f>
        <v>0.125</v>
      </c>
    </row>
    <row r="19" customFormat="false" ht="15" hidden="false" customHeight="false" outlineLevel="0" collapsed="false">
      <c r="A19" s="15" t="s">
        <v>15</v>
      </c>
      <c r="B19" s="18" t="n">
        <f aca="false">SUM(Data!G66:G317)/COUNT(Data!F66:F317)</f>
        <v>0.206349206349206</v>
      </c>
    </row>
    <row r="20" customFormat="false" ht="15" hidden="false" customHeight="false" outlineLevel="0" collapsed="false">
      <c r="A20" s="15" t="s">
        <v>16</v>
      </c>
      <c r="B20" s="17" t="n">
        <f aca="false">COUNT(Data!F66:F317)</f>
        <v>252</v>
      </c>
    </row>
    <row r="21" customFormat="false" ht="15" hidden="false" customHeight="false" outlineLevel="0" collapsed="false">
      <c r="A21" s="15" t="s">
        <v>17</v>
      </c>
      <c r="B21" s="19" t="n">
        <f aca="false">SUMPRODUCT(ABS(D5:D12))/8</f>
        <v>0.00164767203274836</v>
      </c>
    </row>
    <row r="22" customFormat="false" ht="15" hidden="false" customHeight="false" outlineLevel="0" collapsed="false">
      <c r="A22" s="15" t="s">
        <v>18</v>
      </c>
      <c r="B22" s="19" t="n">
        <f aca="false">AVERAGE(F5:F12)</f>
        <v>0.00258595956847371</v>
      </c>
    </row>
    <row r="24" customFormat="false" ht="15" hidden="false" customHeight="false" outlineLevel="0" collapsed="false">
      <c r="A24" s="2" t="s">
        <v>19</v>
      </c>
    </row>
    <row r="25" customFormat="false" ht="15" hidden="false" customHeight="false" outlineLevel="0" collapsed="false">
      <c r="A25" s="2" t="s">
        <v>20</v>
      </c>
    </row>
    <row r="27" customFormat="false" ht="15" hidden="false" customHeight="false" outlineLevel="0" collapsed="false">
      <c r="A27" s="14" t="s">
        <v>21</v>
      </c>
      <c r="B27" s="20" t="n">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40"/>
    <col collapsed="false" customWidth="true" hidden="false" outlineLevel="0" max="4" min="4" style="0" width="11"/>
    <col collapsed="false" customWidth="true" hidden="false" outlineLevel="0" max="5" min="5" style="0" width="8"/>
    <col collapsed="false" customWidth="true" hidden="false" outlineLevel="0" max="6" min="6" style="0" width="10"/>
    <col collapsed="false" customWidth="true" hidden="false" outlineLevel="0" max="7" min="7" style="0" width="12"/>
    <col collapsed="false" customWidth="true" hidden="false" outlineLevel="0" max="8" min="8" style="0" width="10"/>
    <col collapsed="false" customWidth="true" hidden="false" outlineLevel="0" max="10" min="9" style="0" width="12"/>
    <col collapsed="false" customWidth="true" hidden="false" outlineLevel="0" max="11" min="11" style="0" width="10"/>
    <col collapsed="false" customWidth="true" hidden="false" outlineLevel="0" max="12" min="12" style="0" width="12"/>
    <col collapsed="false" customWidth="true" hidden="false" outlineLevel="0" max="14" min="13" style="0" width="13"/>
    <col collapsed="false" customWidth="true" hidden="false" outlineLevel="0" max="15" min="15" style="0" width="9"/>
  </cols>
  <sheetData>
    <row r="1" customFormat="false" ht="16.15" hidden="false" customHeight="false" outlineLevel="0" collapsed="false">
      <c r="A1" s="1" t="s">
        <v>22</v>
      </c>
    </row>
    <row r="2" customFormat="false" ht="15" hidden="false" customHeight="false" outlineLevel="0" collapsed="false">
      <c r="A2" s="2" t="s">
        <v>23</v>
      </c>
    </row>
    <row r="4" customFormat="false" ht="43.5" hidden="false" customHeight="true" outlineLevel="0" collapsed="false">
      <c r="A4" s="3" t="s">
        <v>2</v>
      </c>
      <c r="B4" s="3" t="s">
        <v>3</v>
      </c>
      <c r="C4" s="3" t="s">
        <v>24</v>
      </c>
      <c r="D4" s="3" t="s">
        <v>4</v>
      </c>
      <c r="E4" s="3" t="s">
        <v>25</v>
      </c>
      <c r="F4" s="3" t="s">
        <v>26</v>
      </c>
      <c r="G4" s="3" t="s">
        <v>27</v>
      </c>
      <c r="H4" s="3" t="s">
        <v>28</v>
      </c>
      <c r="I4" s="3" t="s">
        <v>5</v>
      </c>
      <c r="J4" s="3" t="s">
        <v>29</v>
      </c>
      <c r="K4" s="3" t="s">
        <v>30</v>
      </c>
      <c r="L4" s="3" t="s">
        <v>6</v>
      </c>
      <c r="M4" s="3" t="s">
        <v>7</v>
      </c>
      <c r="N4" s="3" t="s">
        <v>31</v>
      </c>
      <c r="O4" s="3" t="s">
        <v>9</v>
      </c>
    </row>
    <row r="5" customFormat="false" ht="43.5" hidden="false" customHeight="true" outlineLevel="0" collapsed="false">
      <c r="A5" s="21" t="n">
        <v>45960</v>
      </c>
      <c r="B5" s="22" t="s">
        <v>32</v>
      </c>
      <c r="C5" s="22" t="s">
        <v>33</v>
      </c>
      <c r="D5" s="22" t="s">
        <v>34</v>
      </c>
      <c r="E5" s="23" t="n">
        <f aca="false">MATCH(A5,Data!$A$5:$A$317,0)+4</f>
        <v>92</v>
      </c>
      <c r="F5" s="24" t="n">
        <f aca="false">INDEX(Data!$B:$B,E5)</f>
        <v>1.155</v>
      </c>
      <c r="G5" s="25" t="n">
        <f aca="false">INDEX(Data!$A:$A,E5+1)</f>
        <v>45961</v>
      </c>
      <c r="H5" s="24" t="n">
        <f aca="false">INDEX(Data!$B:$B,E5+1)</f>
        <v>1.1554</v>
      </c>
      <c r="I5" s="26" t="n">
        <f aca="false">H5/F5-1</f>
        <v>0.000346320346320317</v>
      </c>
      <c r="J5" s="25" t="n">
        <f aca="false">INDEX(Data!$A:$A,E5+5)</f>
        <v>45967</v>
      </c>
      <c r="K5" s="24" t="n">
        <f aca="false">INDEX(Data!$B:$B,E5+5)</f>
        <v>1.1533</v>
      </c>
      <c r="L5" s="26" t="n">
        <f aca="false">K5/F5-1</f>
        <v>-0.00147186147186151</v>
      </c>
      <c r="M5" s="27" t="n">
        <f aca="false">AVERAGE(INDEX(Data!$D:$D,E5-59):INDEX(Data!$D:$D,E5))</f>
        <v>0.00283907451228057</v>
      </c>
      <c r="N5" s="28" t="n">
        <f aca="false">ABS(I5)/M5</f>
        <v>0.121983535417013</v>
      </c>
      <c r="O5" s="23" t="str">
        <f aca="false">IF(N5&gt;Summary!$B$27,"Yes","No")</f>
        <v>No</v>
      </c>
    </row>
    <row r="6" customFormat="false" ht="43.5" hidden="false" customHeight="true" outlineLevel="0" collapsed="false">
      <c r="A6" s="21" t="n">
        <v>46009</v>
      </c>
      <c r="B6" s="22" t="s">
        <v>32</v>
      </c>
      <c r="C6" s="22" t="s">
        <v>35</v>
      </c>
      <c r="D6" s="22" t="s">
        <v>34</v>
      </c>
      <c r="E6" s="23" t="n">
        <f aca="false">MATCH(A6,Data!$A$5:$A$317,0)+4</f>
        <v>127</v>
      </c>
      <c r="F6" s="24" t="n">
        <f aca="false">INDEX(Data!$B:$B,E6)</f>
        <v>1.1719</v>
      </c>
      <c r="G6" s="25" t="n">
        <f aca="false">INDEX(Data!$A:$A,E6+1)</f>
        <v>46010</v>
      </c>
      <c r="H6" s="24" t="n">
        <f aca="false">INDEX(Data!$B:$B,E6+1)</f>
        <v>1.1712</v>
      </c>
      <c r="I6" s="26" t="n">
        <f aca="false">H6/F6-1</f>
        <v>-0.000597320590493999</v>
      </c>
      <c r="J6" s="25" t="n">
        <f aca="false">INDEX(Data!$A:$A,E6+5)</f>
        <v>46020</v>
      </c>
      <c r="K6" s="24" t="n">
        <f aca="false">INDEX(Data!$B:$B,E6+5)</f>
        <v>1.1766</v>
      </c>
      <c r="L6" s="26" t="n">
        <f aca="false">K6/F6-1</f>
        <v>0.00401058110760322</v>
      </c>
      <c r="M6" s="27" t="n">
        <f aca="false">AVERAGE(INDEX(Data!$D:$D,E6-59):INDEX(Data!$D:$D,E6))</f>
        <v>0.0023384595363723</v>
      </c>
      <c r="N6" s="28" t="n">
        <f aca="false">ABS(I6)/M6</f>
        <v>0.255433365941681</v>
      </c>
      <c r="O6" s="23" t="str">
        <f aca="false">IF(N6&gt;Summary!$B$27,"Yes","No")</f>
        <v>No</v>
      </c>
    </row>
    <row r="7" customFormat="false" ht="43.5" hidden="false" customHeight="true" outlineLevel="0" collapsed="false">
      <c r="A7" s="21" t="n">
        <v>46058</v>
      </c>
      <c r="B7" s="22" t="s">
        <v>32</v>
      </c>
      <c r="C7" s="22" t="s">
        <v>36</v>
      </c>
      <c r="D7" s="22" t="s">
        <v>34</v>
      </c>
      <c r="E7" s="23" t="n">
        <f aca="false">MATCH(A7,Data!$A$5:$A$317,0)+4</f>
        <v>159</v>
      </c>
      <c r="F7" s="24" t="n">
        <f aca="false">INDEX(Data!$B:$B,E7)</f>
        <v>1.1798</v>
      </c>
      <c r="G7" s="25" t="n">
        <f aca="false">INDEX(Data!$A:$A,E7+1)</f>
        <v>46059</v>
      </c>
      <c r="H7" s="24" t="n">
        <f aca="false">INDEX(Data!$B:$B,E7+1)</f>
        <v>1.1794</v>
      </c>
      <c r="I7" s="26" t="n">
        <f aca="false">H7/F7-1</f>
        <v>-0.000339040515341504</v>
      </c>
      <c r="J7" s="25" t="n">
        <f aca="false">INDEX(Data!$A:$A,E7+5)</f>
        <v>46065</v>
      </c>
      <c r="K7" s="24" t="n">
        <f aca="false">INDEX(Data!$B:$B,E7+5)</f>
        <v>1.1874</v>
      </c>
      <c r="L7" s="26" t="n">
        <f aca="false">K7/F7-1</f>
        <v>0.00644176979149003</v>
      </c>
      <c r="M7" s="27" t="n">
        <f aca="false">AVERAGE(INDEX(Data!$D:$D,E7-59):INDEX(Data!$D:$D,E7))</f>
        <v>0.00255873835591966</v>
      </c>
      <c r="N7" s="28" t="n">
        <f aca="false">ABS(I7)/M7</f>
        <v>0.132503002722858</v>
      </c>
      <c r="O7" s="23" t="str">
        <f aca="false">IF(N7&gt;Summary!$B$27,"Yes","No")</f>
        <v>No</v>
      </c>
    </row>
    <row r="8" customFormat="false" ht="43.5" hidden="false" customHeight="true" outlineLevel="0" collapsed="false">
      <c r="A8" s="21" t="n">
        <v>46100</v>
      </c>
      <c r="B8" s="22" t="s">
        <v>32</v>
      </c>
      <c r="C8" s="22" t="s">
        <v>37</v>
      </c>
      <c r="D8" s="22" t="s">
        <v>34</v>
      </c>
      <c r="E8" s="23" t="n">
        <f aca="false">MATCH(A8,Data!$A$5:$A$317,0)+4</f>
        <v>189</v>
      </c>
      <c r="F8" s="24" t="n">
        <f aca="false">INDEX(Data!$B:$B,E8)</f>
        <v>1.1489</v>
      </c>
      <c r="G8" s="25" t="n">
        <f aca="false">INDEX(Data!$A:$A,E8+1)</f>
        <v>46101</v>
      </c>
      <c r="H8" s="24" t="n">
        <f aca="false">INDEX(Data!$B:$B,E8+1)</f>
        <v>1.1555</v>
      </c>
      <c r="I8" s="26" t="n">
        <f aca="false">H8/F8-1</f>
        <v>0.00574462529375919</v>
      </c>
      <c r="J8" s="25" t="n">
        <f aca="false">INDEX(Data!$A:$A,E8+5)</f>
        <v>46107</v>
      </c>
      <c r="K8" s="24" t="n">
        <f aca="false">INDEX(Data!$B:$B,E8+5)</f>
        <v>1.1539</v>
      </c>
      <c r="L8" s="26" t="n">
        <f aca="false">K8/F8-1</f>
        <v>0.00435198885890853</v>
      </c>
      <c r="M8" s="27" t="n">
        <f aca="false">AVERAGE(INDEX(Data!$D:$D,E8-59):INDEX(Data!$D:$D,E8))</f>
        <v>0.00298174026135393</v>
      </c>
      <c r="N8" s="28" t="n">
        <f aca="false">ABS(I8)/M8</f>
        <v>1.92660151127674</v>
      </c>
      <c r="O8" s="23" t="str">
        <f aca="false">IF(N8&gt;Summary!$B$27,"Yes","No")</f>
        <v>Yes</v>
      </c>
    </row>
    <row r="9" customFormat="false" ht="43.5" hidden="false" customHeight="true" outlineLevel="0" collapsed="false">
      <c r="A9" s="21" t="n">
        <v>46142</v>
      </c>
      <c r="B9" s="22" t="s">
        <v>32</v>
      </c>
      <c r="C9" s="22" t="s">
        <v>38</v>
      </c>
      <c r="D9" s="22" t="s">
        <v>39</v>
      </c>
      <c r="E9" s="23" t="n">
        <f aca="false">MATCH(A9,Data!$A$5:$A$317,0)+4</f>
        <v>217</v>
      </c>
      <c r="F9" s="24" t="n">
        <f aca="false">INDEX(Data!$B:$B,E9)</f>
        <v>1.1702</v>
      </c>
      <c r="G9" s="25" t="n">
        <f aca="false">INDEX(Data!$A:$A,E9+1)</f>
        <v>46146</v>
      </c>
      <c r="H9" s="24" t="n">
        <f aca="false">INDEX(Data!$B:$B,E9+1)</f>
        <v>1.17</v>
      </c>
      <c r="I9" s="26" t="n">
        <f aca="false">H9/F9-1</f>
        <v>-0.000170910955392234</v>
      </c>
      <c r="J9" s="25" t="n">
        <f aca="false">INDEX(Data!$A:$A,E9+5)</f>
        <v>46150</v>
      </c>
      <c r="K9" s="24" t="n">
        <f aca="false">INDEX(Data!$B:$B,E9+5)</f>
        <v>1.1761</v>
      </c>
      <c r="L9" s="26" t="n">
        <f aca="false">K9/F9-1</f>
        <v>0.00504187318407112</v>
      </c>
      <c r="M9" s="27" t="n">
        <f aca="false">AVERAGE(INDEX(Data!$D:$D,E9-59):INDEX(Data!$D:$D,E9))</f>
        <v>0.00318615695128677</v>
      </c>
      <c r="N9" s="28" t="n">
        <f aca="false">ABS(I9)/M9</f>
        <v>0.0536417251269462</v>
      </c>
      <c r="O9" s="23" t="str">
        <f aca="false">IF(N9&gt;Summary!$B$27,"Yes","No")</f>
        <v>No</v>
      </c>
    </row>
    <row r="10" customFormat="false" ht="43.5" hidden="false" customHeight="true" outlineLevel="0" collapsed="false">
      <c r="A10" s="21" t="n">
        <v>46184</v>
      </c>
      <c r="B10" s="22" t="s">
        <v>40</v>
      </c>
      <c r="C10" s="22" t="s">
        <v>41</v>
      </c>
      <c r="D10" s="22" t="s">
        <v>34</v>
      </c>
      <c r="E10" s="23" t="n">
        <f aca="false">MATCH(A10,Data!$A$5:$A$317,0)+4</f>
        <v>246</v>
      </c>
      <c r="F10" s="24" t="n">
        <f aca="false">INDEX(Data!$B:$B,E10)</f>
        <v>1.1537</v>
      </c>
      <c r="G10" s="25" t="n">
        <f aca="false">INDEX(Data!$A:$A,E10+1)</f>
        <v>46185</v>
      </c>
      <c r="H10" s="24" t="n">
        <f aca="false">INDEX(Data!$B:$B,E10+1)</f>
        <v>1.1567</v>
      </c>
      <c r="I10" s="26" t="n">
        <f aca="false">H10/F10-1</f>
        <v>0.00260032937505428</v>
      </c>
      <c r="J10" s="25" t="n">
        <f aca="false">INDEX(Data!$A:$A,E10+5)</f>
        <v>46191</v>
      </c>
      <c r="K10" s="24" t="n">
        <f aca="false">INDEX(Data!$B:$B,E10+5)</f>
        <v>1.1461</v>
      </c>
      <c r="L10" s="26" t="n">
        <f aca="false">K10/F10-1</f>
        <v>-0.00658750108347062</v>
      </c>
      <c r="M10" s="27" t="n">
        <f aca="false">AVERAGE(INDEX(Data!$D:$D,E10-59):INDEX(Data!$D:$D,E10))</f>
        <v>0.00270226049331292</v>
      </c>
      <c r="N10" s="28" t="n">
        <f aca="false">ABS(I10)/M10</f>
        <v>0.962279314481014</v>
      </c>
      <c r="O10" s="23" t="str">
        <f aca="false">IF(N10&gt;Summary!$B$27,"Yes","No")</f>
        <v>No</v>
      </c>
    </row>
    <row r="11" customFormat="false" ht="43.5" hidden="false" customHeight="true" outlineLevel="0" collapsed="false">
      <c r="A11" s="21" t="n">
        <v>46226</v>
      </c>
      <c r="B11" s="22" t="s">
        <v>42</v>
      </c>
      <c r="C11" s="22" t="s">
        <v>43</v>
      </c>
      <c r="D11" s="22" t="s">
        <v>34</v>
      </c>
      <c r="E11" s="23" t="n">
        <f aca="false">MATCH(A11,Data!$A$5:$A$317,0)+4</f>
        <v>276</v>
      </c>
      <c r="F11" s="24" t="n">
        <f aca="false">INDEX(Data!$B:$B,E11)</f>
        <v>1.1392</v>
      </c>
      <c r="G11" s="25" t="n">
        <f aca="false">INDEX(Data!$A:$A,E11+1)</f>
        <v>46227</v>
      </c>
      <c r="H11" s="24" t="n">
        <f aca="false">INDEX(Data!$B:$B,E11+1)</f>
        <v>1.1377</v>
      </c>
      <c r="I11" s="26" t="n">
        <f aca="false">H11/F11-1</f>
        <v>-0.0013167134831461</v>
      </c>
      <c r="J11" s="25" t="n">
        <f aca="false">INDEX(Data!$A:$A,E11+5)</f>
        <v>46233</v>
      </c>
      <c r="K11" s="24" t="n">
        <f aca="false">INDEX(Data!$B:$B,E11+5)</f>
        <v>1.1476</v>
      </c>
      <c r="L11" s="26" t="n">
        <f aca="false">K11/F11-1</f>
        <v>0.007373595505618</v>
      </c>
      <c r="M11" s="27" t="n">
        <f aca="false">AVERAGE(INDEX(Data!$D:$D,E11-59):INDEX(Data!$D:$D,E11))</f>
        <v>0.00209277182238569</v>
      </c>
      <c r="N11" s="28" t="n">
        <f aca="false">ABS(I11)/M11</f>
        <v>0.629172023945304</v>
      </c>
      <c r="O11" s="23" t="str">
        <f aca="false">IF(N11&gt;Summary!$B$27,"Yes","No")</f>
        <v>No</v>
      </c>
    </row>
    <row r="12" customFormat="false" ht="43.5" hidden="false" customHeight="true" outlineLevel="0" collapsed="false">
      <c r="A12" s="29" t="n">
        <v>46275</v>
      </c>
      <c r="B12" s="30" t="s">
        <v>44</v>
      </c>
      <c r="C12" s="30" t="s">
        <v>45</v>
      </c>
      <c r="D12" s="30" t="s">
        <v>34</v>
      </c>
      <c r="E12" s="31" t="n">
        <f aca="false">MATCH(A12,Data!$A$5:$A$317,0)+4</f>
        <v>311</v>
      </c>
      <c r="F12" s="32" t="n">
        <f aca="false">INDEX(Data!$B:$B,E12)</f>
        <v>1.1616</v>
      </c>
      <c r="G12" s="33" t="n">
        <f aca="false">INDEX(Data!$A:$A,E12+1)</f>
        <v>46276</v>
      </c>
      <c r="H12" s="32" t="n">
        <f aca="false">INDEX(Data!$B:$B,E12+1)</f>
        <v>1.1592</v>
      </c>
      <c r="I12" s="34" t="n">
        <f aca="false">H12/F12-1</f>
        <v>-0.00206611570247928</v>
      </c>
      <c r="J12" s="33" t="n">
        <f aca="false">INDEX(Data!$A:$A,E12+5)</f>
        <v>46282</v>
      </c>
      <c r="K12" s="32" t="n">
        <f aca="false">INDEX(Data!$B:$B,E12+5)</f>
        <v>1.1481</v>
      </c>
      <c r="L12" s="34" t="n">
        <f aca="false">K12/F12-1</f>
        <v>-0.0116219008264463</v>
      </c>
      <c r="M12" s="35" t="n">
        <f aca="false">AVERAGE(INDEX(Data!$D:$D,E12-59):INDEX(Data!$D:$D,E12))</f>
        <v>0.00198847461487788</v>
      </c>
      <c r="N12" s="36" t="n">
        <f aca="false">ABS(I12)/M12</f>
        <v>1.03904555130877</v>
      </c>
      <c r="O12" s="31" t="str">
        <f aca="false">IF(N12&gt;Summary!$B$27,"Yes","No")</f>
        <v>No</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4" min="4" style="0" width="13"/>
    <col collapsed="false" customWidth="true" hidden="false" outlineLevel="0" max="5" min="5" style="0" width="18"/>
    <col collapsed="false" customWidth="true" hidden="false" outlineLevel="0" max="6" min="6" style="0" width="9"/>
    <col collapsed="false" customWidth="true" hidden="false" outlineLevel="0" max="7" min="7" style="0" width="12"/>
  </cols>
  <sheetData>
    <row r="1" customFormat="false" ht="16.15" hidden="false" customHeight="false" outlineLevel="0" collapsed="false">
      <c r="A1" s="1" t="s">
        <v>46</v>
      </c>
    </row>
    <row r="2" customFormat="false" ht="15" hidden="false" customHeight="false" outlineLevel="0" collapsed="false">
      <c r="A2" s="2" t="s">
        <v>47</v>
      </c>
    </row>
    <row r="3" customFormat="false" ht="15" hidden="false" customHeight="false" outlineLevel="0" collapsed="false">
      <c r="A3" s="2" t="s">
        <v>48</v>
      </c>
    </row>
    <row r="4" customFormat="false" ht="43.5" hidden="false" customHeight="true" outlineLevel="0" collapsed="false">
      <c r="A4" s="3" t="s">
        <v>49</v>
      </c>
      <c r="B4" s="3" t="s">
        <v>50</v>
      </c>
      <c r="C4" s="3" t="s">
        <v>51</v>
      </c>
      <c r="D4" s="3" t="s">
        <v>52</v>
      </c>
      <c r="E4" s="3" t="s">
        <v>53</v>
      </c>
      <c r="F4" s="3" t="s">
        <v>8</v>
      </c>
      <c r="G4" s="3" t="s">
        <v>54</v>
      </c>
    </row>
    <row r="5" customFormat="false" ht="15" hidden="false" customHeight="false" outlineLevel="0" collapsed="false">
      <c r="A5" s="21" t="n">
        <v>45839</v>
      </c>
      <c r="B5" s="37" t="n">
        <v>1.181</v>
      </c>
      <c r="C5" s="15"/>
      <c r="D5" s="15"/>
      <c r="E5" s="15"/>
      <c r="F5" s="15"/>
      <c r="G5" s="15"/>
    </row>
    <row r="6" customFormat="false" ht="15" hidden="false" customHeight="false" outlineLevel="0" collapsed="false">
      <c r="A6" s="21" t="n">
        <v>45840</v>
      </c>
      <c r="B6" s="37" t="n">
        <v>1.1755</v>
      </c>
      <c r="C6" s="38" t="n">
        <f aca="false">B6/B5-1</f>
        <v>-0.0046570702794243</v>
      </c>
      <c r="D6" s="19" t="n">
        <f aca="false">ABS(C6)</f>
        <v>0.0046570702794243</v>
      </c>
      <c r="E6" s="15"/>
      <c r="F6" s="15"/>
      <c r="G6" s="15"/>
    </row>
    <row r="7" customFormat="false" ht="15" hidden="false" customHeight="false" outlineLevel="0" collapsed="false">
      <c r="A7" s="21" t="n">
        <v>45841</v>
      </c>
      <c r="B7" s="37" t="n">
        <v>1.1782</v>
      </c>
      <c r="C7" s="38" t="n">
        <f aca="false">B7/B6-1</f>
        <v>0.00229689493832397</v>
      </c>
      <c r="D7" s="19" t="n">
        <f aca="false">ABS(C7)</f>
        <v>0.00229689493832397</v>
      </c>
      <c r="E7" s="15"/>
      <c r="F7" s="15"/>
      <c r="G7" s="15"/>
    </row>
    <row r="8" customFormat="false" ht="15" hidden="false" customHeight="false" outlineLevel="0" collapsed="false">
      <c r="A8" s="21" t="n">
        <v>45842</v>
      </c>
      <c r="B8" s="37" t="n">
        <v>1.1767</v>
      </c>
      <c r="C8" s="38" t="n">
        <f aca="false">B8/B7-1</f>
        <v>-0.00127312850110328</v>
      </c>
      <c r="D8" s="19" t="n">
        <f aca="false">ABS(C8)</f>
        <v>0.00127312850110328</v>
      </c>
      <c r="E8" s="15"/>
      <c r="F8" s="15"/>
      <c r="G8" s="15"/>
    </row>
    <row r="9" customFormat="false" ht="15" hidden="false" customHeight="false" outlineLevel="0" collapsed="false">
      <c r="A9" s="21" t="n">
        <v>45845</v>
      </c>
      <c r="B9" s="37" t="n">
        <v>1.1728</v>
      </c>
      <c r="C9" s="38" t="n">
        <f aca="false">B9/B8-1</f>
        <v>-0.00331435370102828</v>
      </c>
      <c r="D9" s="19" t="n">
        <f aca="false">ABS(C9)</f>
        <v>0.00331435370102828</v>
      </c>
      <c r="E9" s="15"/>
      <c r="F9" s="15"/>
      <c r="G9" s="15"/>
    </row>
    <row r="10" customFormat="false" ht="15" hidden="false" customHeight="false" outlineLevel="0" collapsed="false">
      <c r="A10" s="21" t="n">
        <v>45846</v>
      </c>
      <c r="B10" s="37" t="n">
        <v>1.1718</v>
      </c>
      <c r="C10" s="38" t="n">
        <f aca="false">B10/B9-1</f>
        <v>-0.000852660300136532</v>
      </c>
      <c r="D10" s="19" t="n">
        <f aca="false">ABS(C10)</f>
        <v>0.000852660300136532</v>
      </c>
      <c r="E10" s="15"/>
      <c r="F10" s="15"/>
      <c r="G10" s="15"/>
    </row>
    <row r="11" customFormat="false" ht="15" hidden="false" customHeight="false" outlineLevel="0" collapsed="false">
      <c r="A11" s="21" t="n">
        <v>45847</v>
      </c>
      <c r="B11" s="37" t="n">
        <v>1.1698</v>
      </c>
      <c r="C11" s="38" t="n">
        <f aca="false">B11/B10-1</f>
        <v>-0.00170677590032431</v>
      </c>
      <c r="D11" s="19" t="n">
        <f aca="false">ABS(C11)</f>
        <v>0.00170677590032431</v>
      </c>
      <c r="E11" s="15"/>
      <c r="F11" s="15"/>
      <c r="G11" s="15"/>
    </row>
    <row r="12" customFormat="false" ht="15" hidden="false" customHeight="false" outlineLevel="0" collapsed="false">
      <c r="A12" s="21" t="n">
        <v>45848</v>
      </c>
      <c r="B12" s="37" t="n">
        <v>1.1709</v>
      </c>
      <c r="C12" s="38" t="n">
        <f aca="false">B12/B11-1</f>
        <v>0.000940331680629347</v>
      </c>
      <c r="D12" s="19" t="n">
        <f aca="false">ABS(C12)</f>
        <v>0.000940331680629347</v>
      </c>
      <c r="E12" s="15"/>
      <c r="F12" s="15"/>
      <c r="G12" s="15"/>
    </row>
    <row r="13" customFormat="false" ht="15" hidden="false" customHeight="false" outlineLevel="0" collapsed="false">
      <c r="A13" s="21" t="n">
        <v>45849</v>
      </c>
      <c r="B13" s="37" t="n">
        <v>1.1683</v>
      </c>
      <c r="C13" s="38" t="n">
        <f aca="false">B13/B12-1</f>
        <v>-0.0022205141344267</v>
      </c>
      <c r="D13" s="19" t="n">
        <f aca="false">ABS(C13)</f>
        <v>0.0022205141344267</v>
      </c>
      <c r="E13" s="15"/>
      <c r="F13" s="15"/>
      <c r="G13" s="15"/>
    </row>
    <row r="14" customFormat="false" ht="15" hidden="false" customHeight="false" outlineLevel="0" collapsed="false">
      <c r="A14" s="21" t="n">
        <v>45852</v>
      </c>
      <c r="B14" s="37" t="n">
        <v>1.169</v>
      </c>
      <c r="C14" s="38" t="n">
        <f aca="false">B14/B13-1</f>
        <v>0.0005991611743561</v>
      </c>
      <c r="D14" s="19" t="n">
        <f aca="false">ABS(C14)</f>
        <v>0.0005991611743561</v>
      </c>
      <c r="E14" s="15"/>
      <c r="F14" s="15"/>
      <c r="G14" s="15"/>
    </row>
    <row r="15" customFormat="false" ht="15" hidden="false" customHeight="false" outlineLevel="0" collapsed="false">
      <c r="A15" s="21" t="n">
        <v>45853</v>
      </c>
      <c r="B15" s="37" t="n">
        <v>1.1665</v>
      </c>
      <c r="C15" s="38" t="n">
        <f aca="false">B15/B14-1</f>
        <v>-0.00213857998289135</v>
      </c>
      <c r="D15" s="19" t="n">
        <f aca="false">ABS(C15)</f>
        <v>0.00213857998289135</v>
      </c>
      <c r="E15" s="15"/>
      <c r="F15" s="15"/>
      <c r="G15" s="15"/>
    </row>
    <row r="16" customFormat="false" ht="15" hidden="false" customHeight="false" outlineLevel="0" collapsed="false">
      <c r="A16" s="21" t="n">
        <v>45854</v>
      </c>
      <c r="B16" s="37" t="n">
        <v>1.1602</v>
      </c>
      <c r="C16" s="38" t="n">
        <f aca="false">B16/B15-1</f>
        <v>-0.00540077153879137</v>
      </c>
      <c r="D16" s="19" t="n">
        <f aca="false">ABS(C16)</f>
        <v>0.00540077153879137</v>
      </c>
      <c r="E16" s="15"/>
      <c r="F16" s="15"/>
      <c r="G16" s="15"/>
    </row>
    <row r="17" customFormat="false" ht="15" hidden="false" customHeight="false" outlineLevel="0" collapsed="false">
      <c r="A17" s="21" t="n">
        <v>45855</v>
      </c>
      <c r="B17" s="37" t="n">
        <v>1.1579</v>
      </c>
      <c r="C17" s="38" t="n">
        <f aca="false">B17/B16-1</f>
        <v>-0.00198241682468536</v>
      </c>
      <c r="D17" s="19" t="n">
        <f aca="false">ABS(C17)</f>
        <v>0.00198241682468536</v>
      </c>
      <c r="E17" s="15"/>
      <c r="F17" s="15"/>
      <c r="G17" s="15"/>
    </row>
    <row r="18" customFormat="false" ht="15" hidden="false" customHeight="false" outlineLevel="0" collapsed="false">
      <c r="A18" s="21" t="n">
        <v>45856</v>
      </c>
      <c r="B18" s="37" t="n">
        <v>1.165</v>
      </c>
      <c r="C18" s="38" t="n">
        <f aca="false">B18/B17-1</f>
        <v>0.00613179031004418</v>
      </c>
      <c r="D18" s="19" t="n">
        <f aca="false">ABS(C18)</f>
        <v>0.00613179031004418</v>
      </c>
      <c r="E18" s="15"/>
      <c r="F18" s="15"/>
      <c r="G18" s="15"/>
    </row>
    <row r="19" customFormat="false" ht="15" hidden="false" customHeight="false" outlineLevel="0" collapsed="false">
      <c r="A19" s="21" t="n">
        <v>45859</v>
      </c>
      <c r="B19" s="37" t="n">
        <v>1.1667</v>
      </c>
      <c r="C19" s="38" t="n">
        <f aca="false">B19/B18-1</f>
        <v>0.00145922746781113</v>
      </c>
      <c r="D19" s="19" t="n">
        <f aca="false">ABS(C19)</f>
        <v>0.00145922746781113</v>
      </c>
      <c r="E19" s="15"/>
      <c r="F19" s="15"/>
      <c r="G19" s="15"/>
    </row>
    <row r="20" customFormat="false" ht="15" hidden="false" customHeight="false" outlineLevel="0" collapsed="false">
      <c r="A20" s="21" t="n">
        <v>45860</v>
      </c>
      <c r="B20" s="37" t="n">
        <v>1.1699</v>
      </c>
      <c r="C20" s="38" t="n">
        <f aca="false">B20/B19-1</f>
        <v>0.0027427787777492</v>
      </c>
      <c r="D20" s="19" t="n">
        <f aca="false">ABS(C20)</f>
        <v>0.0027427787777492</v>
      </c>
      <c r="E20" s="15"/>
      <c r="F20" s="15"/>
      <c r="G20" s="15"/>
    </row>
    <row r="21" customFormat="false" ht="15" hidden="false" customHeight="false" outlineLevel="0" collapsed="false">
      <c r="A21" s="21" t="n">
        <v>45861</v>
      </c>
      <c r="B21" s="37" t="n">
        <v>1.1726</v>
      </c>
      <c r="C21" s="38" t="n">
        <f aca="false">B21/B20-1</f>
        <v>0.00230788956321071</v>
      </c>
      <c r="D21" s="19" t="n">
        <f aca="false">ABS(C21)</f>
        <v>0.00230788956321071</v>
      </c>
      <c r="E21" s="15"/>
      <c r="F21" s="15"/>
      <c r="G21" s="15"/>
    </row>
    <row r="22" customFormat="false" ht="15" hidden="false" customHeight="false" outlineLevel="0" collapsed="false">
      <c r="A22" s="21" t="n">
        <v>45862</v>
      </c>
      <c r="B22" s="37" t="n">
        <v>1.1756</v>
      </c>
      <c r="C22" s="38" t="n">
        <f aca="false">B22/B21-1</f>
        <v>0.00255841719256344</v>
      </c>
      <c r="D22" s="19" t="n">
        <f aca="false">ABS(C22)</f>
        <v>0.00255841719256344</v>
      </c>
      <c r="E22" s="15"/>
      <c r="F22" s="15"/>
      <c r="G22" s="15"/>
    </row>
    <row r="23" customFormat="false" ht="15" hidden="false" customHeight="false" outlineLevel="0" collapsed="false">
      <c r="A23" s="21" t="n">
        <v>45863</v>
      </c>
      <c r="B23" s="37" t="n">
        <v>1.1724</v>
      </c>
      <c r="C23" s="38" t="n">
        <f aca="false">B23/B22-1</f>
        <v>-0.00272201429057495</v>
      </c>
      <c r="D23" s="19" t="n">
        <f aca="false">ABS(C23)</f>
        <v>0.00272201429057495</v>
      </c>
      <c r="E23" s="15"/>
      <c r="F23" s="15"/>
      <c r="G23" s="15"/>
    </row>
    <row r="24" customFormat="false" ht="15" hidden="false" customHeight="false" outlineLevel="0" collapsed="false">
      <c r="A24" s="21" t="n">
        <v>45866</v>
      </c>
      <c r="B24" s="37" t="n">
        <v>1.1654</v>
      </c>
      <c r="C24" s="38" t="n">
        <f aca="false">B24/B23-1</f>
        <v>-0.00597065847833511</v>
      </c>
      <c r="D24" s="19" t="n">
        <f aca="false">ABS(C24)</f>
        <v>0.00597065847833511</v>
      </c>
      <c r="E24" s="15"/>
      <c r="F24" s="15"/>
      <c r="G24" s="15"/>
    </row>
    <row r="25" customFormat="false" ht="15" hidden="false" customHeight="false" outlineLevel="0" collapsed="false">
      <c r="A25" s="21" t="n">
        <v>45867</v>
      </c>
      <c r="B25" s="37" t="n">
        <v>1.1533</v>
      </c>
      <c r="C25" s="38" t="n">
        <f aca="false">B25/B24-1</f>
        <v>-0.0103827012184657</v>
      </c>
      <c r="D25" s="19" t="n">
        <f aca="false">ABS(C25)</f>
        <v>0.0103827012184657</v>
      </c>
      <c r="E25" s="15"/>
      <c r="F25" s="15"/>
      <c r="G25" s="15"/>
    </row>
    <row r="26" customFormat="false" ht="15" hidden="false" customHeight="false" outlineLevel="0" collapsed="false">
      <c r="A26" s="21" t="n">
        <v>45868</v>
      </c>
      <c r="B26" s="37" t="n">
        <v>1.1527</v>
      </c>
      <c r="C26" s="38" t="n">
        <f aca="false">B26/B25-1</f>
        <v>-0.000520246249891554</v>
      </c>
      <c r="D26" s="19" t="n">
        <f aca="false">ABS(C26)</f>
        <v>0.000520246249891554</v>
      </c>
      <c r="E26" s="15"/>
      <c r="F26" s="15"/>
      <c r="G26" s="15"/>
    </row>
    <row r="27" customFormat="false" ht="15" hidden="false" customHeight="false" outlineLevel="0" collapsed="false">
      <c r="A27" s="21" t="n">
        <v>45869</v>
      </c>
      <c r="B27" s="37" t="n">
        <v>1.1446</v>
      </c>
      <c r="C27" s="38" t="n">
        <f aca="false">B27/B26-1</f>
        <v>-0.00702698013359937</v>
      </c>
      <c r="D27" s="19" t="n">
        <f aca="false">ABS(C27)</f>
        <v>0.00702698013359937</v>
      </c>
      <c r="E27" s="15"/>
      <c r="F27" s="15"/>
      <c r="G27" s="15"/>
    </row>
    <row r="28" customFormat="false" ht="15" hidden="false" customHeight="false" outlineLevel="0" collapsed="false">
      <c r="A28" s="21" t="n">
        <v>45870</v>
      </c>
      <c r="B28" s="37" t="n">
        <v>1.1404</v>
      </c>
      <c r="C28" s="38" t="n">
        <f aca="false">B28/B27-1</f>
        <v>-0.00366940415865802</v>
      </c>
      <c r="D28" s="19" t="n">
        <f aca="false">ABS(C28)</f>
        <v>0.00366940415865802</v>
      </c>
      <c r="E28" s="15"/>
      <c r="F28" s="15"/>
      <c r="G28" s="15"/>
    </row>
    <row r="29" customFormat="false" ht="15" hidden="false" customHeight="false" outlineLevel="0" collapsed="false">
      <c r="A29" s="21" t="n">
        <v>45873</v>
      </c>
      <c r="B29" s="37" t="n">
        <v>1.1565</v>
      </c>
      <c r="C29" s="38" t="n">
        <f aca="false">B29/B28-1</f>
        <v>0.0141178533847772</v>
      </c>
      <c r="D29" s="19" t="n">
        <f aca="false">ABS(C29)</f>
        <v>0.0141178533847772</v>
      </c>
      <c r="E29" s="15"/>
      <c r="F29" s="15"/>
      <c r="G29" s="15"/>
    </row>
    <row r="30" customFormat="false" ht="15" hidden="false" customHeight="false" outlineLevel="0" collapsed="false">
      <c r="A30" s="21" t="n">
        <v>45874</v>
      </c>
      <c r="B30" s="37" t="n">
        <v>1.1546</v>
      </c>
      <c r="C30" s="38" t="n">
        <f aca="false">B30/B29-1</f>
        <v>-0.00164288802421098</v>
      </c>
      <c r="D30" s="19" t="n">
        <f aca="false">ABS(C30)</f>
        <v>0.00164288802421098</v>
      </c>
      <c r="E30" s="15"/>
      <c r="F30" s="15"/>
      <c r="G30" s="15"/>
    </row>
    <row r="31" customFormat="false" ht="15" hidden="false" customHeight="false" outlineLevel="0" collapsed="false">
      <c r="A31" s="21" t="n">
        <v>45875</v>
      </c>
      <c r="B31" s="37" t="n">
        <v>1.1604</v>
      </c>
      <c r="C31" s="38" t="n">
        <f aca="false">B31/B30-1</f>
        <v>0.00502338472198161</v>
      </c>
      <c r="D31" s="19" t="n">
        <f aca="false">ABS(C31)</f>
        <v>0.00502338472198161</v>
      </c>
      <c r="E31" s="15"/>
      <c r="F31" s="15"/>
      <c r="G31" s="15"/>
    </row>
    <row r="32" customFormat="false" ht="15" hidden="false" customHeight="false" outlineLevel="0" collapsed="false">
      <c r="A32" s="21" t="n">
        <v>45876</v>
      </c>
      <c r="B32" s="37" t="n">
        <v>1.1643</v>
      </c>
      <c r="C32" s="38" t="n">
        <f aca="false">B32/B31-1</f>
        <v>0.00336091003102368</v>
      </c>
      <c r="D32" s="19" t="n">
        <f aca="false">ABS(C32)</f>
        <v>0.00336091003102368</v>
      </c>
      <c r="E32" s="15"/>
      <c r="F32" s="15"/>
      <c r="G32" s="15"/>
    </row>
    <row r="33" customFormat="false" ht="15" hidden="false" customHeight="false" outlineLevel="0" collapsed="false">
      <c r="A33" s="21" t="n">
        <v>45877</v>
      </c>
      <c r="B33" s="37" t="n">
        <v>1.1648</v>
      </c>
      <c r="C33" s="38" t="n">
        <f aca="false">B33/B32-1</f>
        <v>0.000429442583526729</v>
      </c>
      <c r="D33" s="19" t="n">
        <f aca="false">ABS(C33)</f>
        <v>0.000429442583526729</v>
      </c>
      <c r="E33" s="15"/>
      <c r="F33" s="15"/>
      <c r="G33" s="15"/>
    </row>
    <row r="34" customFormat="false" ht="15" hidden="false" customHeight="false" outlineLevel="0" collapsed="false">
      <c r="A34" s="21" t="n">
        <v>45880</v>
      </c>
      <c r="B34" s="37" t="n">
        <v>1.1622</v>
      </c>
      <c r="C34" s="38" t="n">
        <f aca="false">B34/B33-1</f>
        <v>-0.00223214285714302</v>
      </c>
      <c r="D34" s="19" t="n">
        <f aca="false">ABS(C34)</f>
        <v>0.00223214285714302</v>
      </c>
      <c r="E34" s="15"/>
      <c r="F34" s="15"/>
      <c r="G34" s="15"/>
    </row>
    <row r="35" customFormat="false" ht="15" hidden="false" customHeight="false" outlineLevel="0" collapsed="false">
      <c r="A35" s="21" t="n">
        <v>45881</v>
      </c>
      <c r="B35" s="37" t="n">
        <v>1.1606</v>
      </c>
      <c r="C35" s="38" t="n">
        <f aca="false">B35/B34-1</f>
        <v>-0.00137669936327645</v>
      </c>
      <c r="D35" s="19" t="n">
        <f aca="false">ABS(C35)</f>
        <v>0.00137669936327645</v>
      </c>
      <c r="E35" s="15"/>
      <c r="F35" s="15"/>
      <c r="G35" s="15"/>
    </row>
    <row r="36" customFormat="false" ht="15" hidden="false" customHeight="false" outlineLevel="0" collapsed="false">
      <c r="A36" s="21" t="n">
        <v>45882</v>
      </c>
      <c r="B36" s="37" t="n">
        <v>1.1711</v>
      </c>
      <c r="C36" s="38" t="n">
        <f aca="false">B36/B35-1</f>
        <v>0.00904704463208672</v>
      </c>
      <c r="D36" s="19" t="n">
        <f aca="false">ABS(C36)</f>
        <v>0.00904704463208672</v>
      </c>
      <c r="E36" s="15"/>
      <c r="F36" s="15"/>
      <c r="G36" s="15"/>
    </row>
    <row r="37" customFormat="false" ht="15" hidden="false" customHeight="false" outlineLevel="0" collapsed="false">
      <c r="A37" s="21" t="n">
        <v>45883</v>
      </c>
      <c r="B37" s="37" t="n">
        <v>1.169</v>
      </c>
      <c r="C37" s="38" t="n">
        <f aca="false">B37/B36-1</f>
        <v>-0.00179318589360433</v>
      </c>
      <c r="D37" s="19" t="n">
        <f aca="false">ABS(C37)</f>
        <v>0.00179318589360433</v>
      </c>
      <c r="E37" s="15"/>
      <c r="F37" s="15"/>
      <c r="G37" s="15"/>
    </row>
    <row r="38" customFormat="false" ht="15" hidden="false" customHeight="false" outlineLevel="0" collapsed="false">
      <c r="A38" s="21" t="n">
        <v>45884</v>
      </c>
      <c r="B38" s="37" t="n">
        <v>1.1688</v>
      </c>
      <c r="C38" s="38" t="n">
        <f aca="false">B38/B37-1</f>
        <v>-0.000171086398631282</v>
      </c>
      <c r="D38" s="19" t="n">
        <f aca="false">ABS(C38)</f>
        <v>0.000171086398631282</v>
      </c>
      <c r="E38" s="15"/>
      <c r="F38" s="15"/>
      <c r="G38" s="15"/>
    </row>
    <row r="39" customFormat="false" ht="15" hidden="false" customHeight="false" outlineLevel="0" collapsed="false">
      <c r="A39" s="21" t="n">
        <v>45887</v>
      </c>
      <c r="B39" s="37" t="n">
        <v>1.1673</v>
      </c>
      <c r="C39" s="38" t="n">
        <f aca="false">B39/B38-1</f>
        <v>-0.00128336755646818</v>
      </c>
      <c r="D39" s="19" t="n">
        <f aca="false">ABS(C39)</f>
        <v>0.00128336755646818</v>
      </c>
      <c r="E39" s="15"/>
      <c r="F39" s="15"/>
      <c r="G39" s="15"/>
    </row>
    <row r="40" customFormat="false" ht="15" hidden="false" customHeight="false" outlineLevel="0" collapsed="false">
      <c r="A40" s="21" t="n">
        <v>45888</v>
      </c>
      <c r="B40" s="37" t="n">
        <v>1.1682</v>
      </c>
      <c r="C40" s="38" t="n">
        <f aca="false">B40/B39-1</f>
        <v>0.000771010023130181</v>
      </c>
      <c r="D40" s="19" t="n">
        <f aca="false">ABS(C40)</f>
        <v>0.000771010023130181</v>
      </c>
      <c r="E40" s="15"/>
      <c r="F40" s="15"/>
      <c r="G40" s="15"/>
    </row>
    <row r="41" customFormat="false" ht="15" hidden="false" customHeight="false" outlineLevel="0" collapsed="false">
      <c r="A41" s="21" t="n">
        <v>45889</v>
      </c>
      <c r="B41" s="37" t="n">
        <v>1.1651</v>
      </c>
      <c r="C41" s="38" t="n">
        <f aca="false">B41/B40-1</f>
        <v>-0.002653655196028</v>
      </c>
      <c r="D41" s="19" t="n">
        <f aca="false">ABS(C41)</f>
        <v>0.002653655196028</v>
      </c>
      <c r="E41" s="15"/>
      <c r="F41" s="15"/>
      <c r="G41" s="15"/>
    </row>
    <row r="42" customFormat="false" ht="15" hidden="false" customHeight="false" outlineLevel="0" collapsed="false">
      <c r="A42" s="21" t="n">
        <v>45890</v>
      </c>
      <c r="B42" s="37" t="n">
        <v>1.1639</v>
      </c>
      <c r="C42" s="38" t="n">
        <f aca="false">B42/B41-1</f>
        <v>-0.00102995451034249</v>
      </c>
      <c r="D42" s="19" t="n">
        <f aca="false">ABS(C42)</f>
        <v>0.00102995451034249</v>
      </c>
      <c r="E42" s="15"/>
      <c r="F42" s="15"/>
      <c r="G42" s="15"/>
    </row>
    <row r="43" customFormat="false" ht="15" hidden="false" customHeight="false" outlineLevel="0" collapsed="false">
      <c r="A43" s="21" t="n">
        <v>45891</v>
      </c>
      <c r="B43" s="37" t="n">
        <v>1.1608</v>
      </c>
      <c r="C43" s="38" t="n">
        <f aca="false">B43/B42-1</f>
        <v>-0.00266345906005661</v>
      </c>
      <c r="D43" s="19" t="n">
        <f aca="false">ABS(C43)</f>
        <v>0.00266345906005661</v>
      </c>
      <c r="E43" s="15"/>
      <c r="F43" s="15"/>
      <c r="G43" s="15"/>
    </row>
    <row r="44" customFormat="false" ht="15" hidden="false" customHeight="false" outlineLevel="0" collapsed="false">
      <c r="A44" s="21" t="n">
        <v>45894</v>
      </c>
      <c r="B44" s="37" t="n">
        <v>1.1697</v>
      </c>
      <c r="C44" s="38" t="n">
        <f aca="false">B44/B43-1</f>
        <v>0.00766712611991727</v>
      </c>
      <c r="D44" s="19" t="n">
        <f aca="false">ABS(C44)</f>
        <v>0.00766712611991727</v>
      </c>
      <c r="E44" s="15"/>
      <c r="F44" s="15"/>
      <c r="G44" s="15"/>
    </row>
    <row r="45" customFormat="false" ht="15" hidden="false" customHeight="false" outlineLevel="0" collapsed="false">
      <c r="A45" s="21" t="n">
        <v>45895</v>
      </c>
      <c r="B45" s="37" t="n">
        <v>1.1656</v>
      </c>
      <c r="C45" s="38" t="n">
        <f aca="false">B45/B44-1</f>
        <v>-0.00350517226639313</v>
      </c>
      <c r="D45" s="19" t="n">
        <f aca="false">ABS(C45)</f>
        <v>0.00350517226639313</v>
      </c>
      <c r="E45" s="15"/>
      <c r="F45" s="15"/>
      <c r="G45" s="15"/>
    </row>
    <row r="46" customFormat="false" ht="15" hidden="false" customHeight="false" outlineLevel="0" collapsed="false">
      <c r="A46" s="21" t="n">
        <v>45896</v>
      </c>
      <c r="B46" s="37" t="n">
        <v>1.1593</v>
      </c>
      <c r="C46" s="38" t="n">
        <f aca="false">B46/B45-1</f>
        <v>-0.00540494166094718</v>
      </c>
      <c r="D46" s="19" t="n">
        <f aca="false">ABS(C46)</f>
        <v>0.00540494166094718</v>
      </c>
      <c r="E46" s="15"/>
      <c r="F46" s="15"/>
      <c r="G46" s="15"/>
    </row>
    <row r="47" customFormat="false" ht="15" hidden="false" customHeight="false" outlineLevel="0" collapsed="false">
      <c r="A47" s="21" t="n">
        <v>45897</v>
      </c>
      <c r="B47" s="37" t="n">
        <v>1.1676</v>
      </c>
      <c r="C47" s="38" t="n">
        <f aca="false">B47/B46-1</f>
        <v>0.00715949279737771</v>
      </c>
      <c r="D47" s="19" t="n">
        <f aca="false">ABS(C47)</f>
        <v>0.00715949279737771</v>
      </c>
      <c r="E47" s="15"/>
      <c r="F47" s="15"/>
      <c r="G47" s="15"/>
    </row>
    <row r="48" customFormat="false" ht="15" hidden="false" customHeight="false" outlineLevel="0" collapsed="false">
      <c r="A48" s="21" t="n">
        <v>45898</v>
      </c>
      <c r="B48" s="37" t="n">
        <v>1.1658</v>
      </c>
      <c r="C48" s="38" t="n">
        <f aca="false">B48/B47-1</f>
        <v>-0.00154162384378209</v>
      </c>
      <c r="D48" s="19" t="n">
        <f aca="false">ABS(C48)</f>
        <v>0.00154162384378209</v>
      </c>
      <c r="E48" s="15"/>
      <c r="F48" s="15"/>
      <c r="G48" s="15"/>
    </row>
    <row r="49" customFormat="false" ht="15" hidden="false" customHeight="false" outlineLevel="0" collapsed="false">
      <c r="A49" s="21" t="n">
        <v>45901</v>
      </c>
      <c r="B49" s="37" t="n">
        <v>1.1715</v>
      </c>
      <c r="C49" s="38" t="n">
        <f aca="false">B49/B48-1</f>
        <v>0.00488934637159044</v>
      </c>
      <c r="D49" s="19" t="n">
        <f aca="false">ABS(C49)</f>
        <v>0.00488934637159044</v>
      </c>
      <c r="E49" s="15"/>
      <c r="F49" s="15"/>
      <c r="G49" s="15"/>
    </row>
    <row r="50" customFormat="false" ht="15" hidden="false" customHeight="false" outlineLevel="0" collapsed="false">
      <c r="A50" s="21" t="n">
        <v>45902</v>
      </c>
      <c r="B50" s="37" t="n">
        <v>1.1646</v>
      </c>
      <c r="C50" s="38" t="n">
        <f aca="false">B50/B49-1</f>
        <v>-0.00588988476312413</v>
      </c>
      <c r="D50" s="19" t="n">
        <f aca="false">ABS(C50)</f>
        <v>0.00588988476312413</v>
      </c>
      <c r="E50" s="15"/>
      <c r="F50" s="15"/>
      <c r="G50" s="15"/>
    </row>
    <row r="51" customFormat="false" ht="15" hidden="false" customHeight="false" outlineLevel="0" collapsed="false">
      <c r="A51" s="21" t="n">
        <v>45903</v>
      </c>
      <c r="B51" s="37" t="n">
        <v>1.1653</v>
      </c>
      <c r="C51" s="38" t="n">
        <f aca="false">B51/B50-1</f>
        <v>0.000601064743259494</v>
      </c>
      <c r="D51" s="19" t="n">
        <f aca="false">ABS(C51)</f>
        <v>0.000601064743259494</v>
      </c>
      <c r="E51" s="15"/>
      <c r="F51" s="15"/>
      <c r="G51" s="15"/>
    </row>
    <row r="52" customFormat="false" ht="15" hidden="false" customHeight="false" outlineLevel="0" collapsed="false">
      <c r="A52" s="21" t="n">
        <v>45904</v>
      </c>
      <c r="B52" s="37" t="n">
        <v>1.1647</v>
      </c>
      <c r="C52" s="38" t="n">
        <f aca="false">B52/B51-1</f>
        <v>-0.000514888869818875</v>
      </c>
      <c r="D52" s="19" t="n">
        <f aca="false">ABS(C52)</f>
        <v>0.000514888869818875</v>
      </c>
      <c r="E52" s="15"/>
      <c r="F52" s="15"/>
      <c r="G52" s="15"/>
    </row>
    <row r="53" customFormat="false" ht="15" hidden="false" customHeight="false" outlineLevel="0" collapsed="false">
      <c r="A53" s="21" t="n">
        <v>45905</v>
      </c>
      <c r="B53" s="37" t="n">
        <v>1.1697</v>
      </c>
      <c r="C53" s="38" t="n">
        <f aca="false">B53/B52-1</f>
        <v>0.00429295097449978</v>
      </c>
      <c r="D53" s="19" t="n">
        <f aca="false">ABS(C53)</f>
        <v>0.00429295097449978</v>
      </c>
      <c r="E53" s="15"/>
      <c r="F53" s="15"/>
      <c r="G53" s="15"/>
    </row>
    <row r="54" customFormat="false" ht="15" hidden="false" customHeight="false" outlineLevel="0" collapsed="false">
      <c r="A54" s="21" t="n">
        <v>45908</v>
      </c>
      <c r="B54" s="37" t="n">
        <v>1.1728</v>
      </c>
      <c r="C54" s="38" t="n">
        <f aca="false">B54/B53-1</f>
        <v>0.00265025220141935</v>
      </c>
      <c r="D54" s="19" t="n">
        <f aca="false">ABS(C54)</f>
        <v>0.00265025220141935</v>
      </c>
      <c r="E54" s="15"/>
      <c r="F54" s="15"/>
      <c r="G54" s="15"/>
    </row>
    <row r="55" customFormat="false" ht="15" hidden="false" customHeight="false" outlineLevel="0" collapsed="false">
      <c r="A55" s="21" t="n">
        <v>45909</v>
      </c>
      <c r="B55" s="37" t="n">
        <v>1.1744</v>
      </c>
      <c r="C55" s="38" t="n">
        <f aca="false">B55/B54-1</f>
        <v>0.00136425648021832</v>
      </c>
      <c r="D55" s="19" t="n">
        <f aca="false">ABS(C55)</f>
        <v>0.00136425648021832</v>
      </c>
      <c r="E55" s="15"/>
      <c r="F55" s="15"/>
      <c r="G55" s="15"/>
    </row>
    <row r="56" customFormat="false" ht="15" hidden="false" customHeight="false" outlineLevel="0" collapsed="false">
      <c r="A56" s="21" t="n">
        <v>45910</v>
      </c>
      <c r="B56" s="37" t="n">
        <v>1.1707</v>
      </c>
      <c r="C56" s="38" t="n">
        <f aca="false">B56/B55-1</f>
        <v>-0.00315054495912814</v>
      </c>
      <c r="D56" s="19" t="n">
        <f aca="false">ABS(C56)</f>
        <v>0.00315054495912814</v>
      </c>
      <c r="E56" s="15"/>
      <c r="F56" s="15"/>
      <c r="G56" s="15"/>
    </row>
    <row r="57" customFormat="false" ht="15" hidden="false" customHeight="false" outlineLevel="0" collapsed="false">
      <c r="A57" s="21" t="n">
        <v>45911</v>
      </c>
      <c r="B57" s="37" t="n">
        <v>1.1685</v>
      </c>
      <c r="C57" s="38" t="n">
        <f aca="false">B57/B56-1</f>
        <v>-0.00187921756214227</v>
      </c>
      <c r="D57" s="19" t="n">
        <f aca="false">ABS(C57)</f>
        <v>0.00187921756214227</v>
      </c>
      <c r="E57" s="15"/>
      <c r="F57" s="15"/>
      <c r="G57" s="15"/>
    </row>
    <row r="58" customFormat="false" ht="15" hidden="false" customHeight="false" outlineLevel="0" collapsed="false">
      <c r="A58" s="21" t="n">
        <v>45912</v>
      </c>
      <c r="B58" s="37" t="n">
        <v>1.1718</v>
      </c>
      <c r="C58" s="38" t="n">
        <f aca="false">B58/B57-1</f>
        <v>0.00282413350449273</v>
      </c>
      <c r="D58" s="19" t="n">
        <f aca="false">ABS(C58)</f>
        <v>0.00282413350449273</v>
      </c>
      <c r="E58" s="15"/>
      <c r="F58" s="15"/>
      <c r="G58" s="15"/>
    </row>
    <row r="59" customFormat="false" ht="15" hidden="false" customHeight="false" outlineLevel="0" collapsed="false">
      <c r="A59" s="21" t="n">
        <v>45915</v>
      </c>
      <c r="B59" s="37" t="n">
        <v>1.1766</v>
      </c>
      <c r="C59" s="38" t="n">
        <f aca="false">B59/B58-1</f>
        <v>0.0040962621607783</v>
      </c>
      <c r="D59" s="19" t="n">
        <f aca="false">ABS(C59)</f>
        <v>0.0040962621607783</v>
      </c>
      <c r="E59" s="15"/>
      <c r="F59" s="15"/>
      <c r="G59" s="15"/>
    </row>
    <row r="60" customFormat="false" ht="15" hidden="false" customHeight="false" outlineLevel="0" collapsed="false">
      <c r="A60" s="21" t="n">
        <v>45916</v>
      </c>
      <c r="B60" s="37" t="n">
        <v>1.1807</v>
      </c>
      <c r="C60" s="38" t="n">
        <f aca="false">B60/B59-1</f>
        <v>0.00348461669216382</v>
      </c>
      <c r="D60" s="19" t="n">
        <f aca="false">ABS(C60)</f>
        <v>0.00348461669216382</v>
      </c>
      <c r="E60" s="15"/>
      <c r="F60" s="15"/>
      <c r="G60" s="15"/>
    </row>
    <row r="61" customFormat="false" ht="15" hidden="false" customHeight="false" outlineLevel="0" collapsed="false">
      <c r="A61" s="21" t="n">
        <v>45917</v>
      </c>
      <c r="B61" s="37" t="n">
        <v>1.1837</v>
      </c>
      <c r="C61" s="38" t="n">
        <f aca="false">B61/B60-1</f>
        <v>0.00254086558821021</v>
      </c>
      <c r="D61" s="19" t="n">
        <f aca="false">ABS(C61)</f>
        <v>0.00254086558821021</v>
      </c>
      <c r="E61" s="15"/>
      <c r="F61" s="15"/>
      <c r="G61" s="15"/>
    </row>
    <row r="62" customFormat="false" ht="15" hidden="false" customHeight="false" outlineLevel="0" collapsed="false">
      <c r="A62" s="21" t="n">
        <v>45918</v>
      </c>
      <c r="B62" s="37" t="n">
        <v>1.1818</v>
      </c>
      <c r="C62" s="38" t="n">
        <f aca="false">B62/B61-1</f>
        <v>-0.0016051364365971</v>
      </c>
      <c r="D62" s="19" t="n">
        <f aca="false">ABS(C62)</f>
        <v>0.0016051364365971</v>
      </c>
      <c r="E62" s="15"/>
      <c r="F62" s="15"/>
      <c r="G62" s="15"/>
    </row>
    <row r="63" customFormat="false" ht="15" hidden="false" customHeight="false" outlineLevel="0" collapsed="false">
      <c r="A63" s="21" t="n">
        <v>45919</v>
      </c>
      <c r="B63" s="37" t="n">
        <v>1.1736</v>
      </c>
      <c r="C63" s="38" t="n">
        <f aca="false">B63/B62-1</f>
        <v>-0.00693856828566597</v>
      </c>
      <c r="D63" s="19" t="n">
        <f aca="false">ABS(C63)</f>
        <v>0.00693856828566597</v>
      </c>
      <c r="E63" s="15"/>
      <c r="F63" s="15"/>
      <c r="G63" s="15"/>
    </row>
    <row r="64" customFormat="false" ht="15" hidden="false" customHeight="false" outlineLevel="0" collapsed="false">
      <c r="A64" s="21" t="n">
        <v>45922</v>
      </c>
      <c r="B64" s="37" t="n">
        <v>1.1781</v>
      </c>
      <c r="C64" s="38" t="n">
        <f aca="false">B64/B63-1</f>
        <v>0.00383435582822078</v>
      </c>
      <c r="D64" s="19" t="n">
        <f aca="false">ABS(C64)</f>
        <v>0.00383435582822078</v>
      </c>
      <c r="E64" s="15"/>
      <c r="F64" s="15"/>
      <c r="G64" s="15"/>
    </row>
    <row r="65" customFormat="false" ht="15" hidden="false" customHeight="false" outlineLevel="0" collapsed="false">
      <c r="A65" s="21" t="n">
        <v>45923</v>
      </c>
      <c r="B65" s="37" t="n">
        <v>1.1793</v>
      </c>
      <c r="C65" s="38" t="n">
        <f aca="false">B65/B64-1</f>
        <v>0.00101858925388343</v>
      </c>
      <c r="D65" s="19" t="n">
        <f aca="false">ABS(C65)</f>
        <v>0.00101858925388343</v>
      </c>
      <c r="E65" s="15"/>
      <c r="F65" s="15"/>
      <c r="G65" s="15"/>
    </row>
    <row r="66" customFormat="false" ht="15" hidden="false" customHeight="false" outlineLevel="0" collapsed="false">
      <c r="A66" s="21" t="n">
        <v>45924</v>
      </c>
      <c r="B66" s="37" t="n">
        <v>1.1756</v>
      </c>
      <c r="C66" s="38" t="n">
        <f aca="false">B66/B65-1</f>
        <v>-0.00313745442211488</v>
      </c>
      <c r="D66" s="19" t="n">
        <f aca="false">ABS(C66)</f>
        <v>0.00313745442211488</v>
      </c>
      <c r="E66" s="19" t="n">
        <f aca="false">AVERAGE(D6:D65)</f>
        <v>0.00328873570661571</v>
      </c>
      <c r="F66" s="16" t="n">
        <f aca="false">D66/E66</f>
        <v>0.954000169671129</v>
      </c>
      <c r="G66" s="15" t="n">
        <f aca="false">IF(F66&gt;Summary!$B$27,1,0)</f>
        <v>0</v>
      </c>
    </row>
    <row r="67" customFormat="false" ht="15" hidden="false" customHeight="false" outlineLevel="0" collapsed="false">
      <c r="A67" s="21" t="n">
        <v>45925</v>
      </c>
      <c r="B67" s="37" t="n">
        <v>1.1739</v>
      </c>
      <c r="C67" s="38" t="n">
        <f aca="false">B67/B66-1</f>
        <v>-0.00144607009186803</v>
      </c>
      <c r="D67" s="19" t="n">
        <f aca="false">ABS(C67)</f>
        <v>0.00144607009186803</v>
      </c>
      <c r="E67" s="19" t="n">
        <f aca="false">AVERAGE(D7:D66)</f>
        <v>0.00326340877566055</v>
      </c>
      <c r="F67" s="16" t="n">
        <f aca="false">D67/E67</f>
        <v>0.443116443962904</v>
      </c>
      <c r="G67" s="15" t="n">
        <f aca="false">IF(F67&gt;Summary!$B$27,1,0)</f>
        <v>0</v>
      </c>
    </row>
    <row r="68" customFormat="false" ht="15" hidden="false" customHeight="false" outlineLevel="0" collapsed="false">
      <c r="A68" s="21" t="n">
        <v>45926</v>
      </c>
      <c r="B68" s="37" t="n">
        <v>1.1672</v>
      </c>
      <c r="C68" s="38" t="n">
        <f aca="false">B68/B67-1</f>
        <v>-0.00570747082374978</v>
      </c>
      <c r="D68" s="19" t="n">
        <f aca="false">ABS(C68)</f>
        <v>0.00570747082374978</v>
      </c>
      <c r="E68" s="19" t="n">
        <f aca="false">AVERAGE(D8:D67)</f>
        <v>0.00324922836155295</v>
      </c>
      <c r="F68" s="16" t="n">
        <f aca="false">D68/E68</f>
        <v>1.75656192445087</v>
      </c>
      <c r="G68" s="15" t="n">
        <f aca="false">IF(F68&gt;Summary!$B$27,1,0)</f>
        <v>1</v>
      </c>
    </row>
    <row r="69" customFormat="false" ht="15" hidden="false" customHeight="false" outlineLevel="0" collapsed="false">
      <c r="A69" s="21" t="n">
        <v>45929</v>
      </c>
      <c r="B69" s="37" t="n">
        <v>1.1723</v>
      </c>
      <c r="C69" s="38" t="n">
        <f aca="false">B69/B68-1</f>
        <v>0.00436943111720356</v>
      </c>
      <c r="D69" s="19" t="n">
        <f aca="false">ABS(C69)</f>
        <v>0.00436943111720356</v>
      </c>
      <c r="E69" s="19" t="n">
        <f aca="false">AVERAGE(D9:D68)</f>
        <v>0.00332313406693039</v>
      </c>
      <c r="F69" s="16" t="n">
        <f aca="false">D69/E69</f>
        <v>1.31485249442242</v>
      </c>
      <c r="G69" s="15" t="n">
        <f aca="false">IF(F69&gt;Summary!$B$27,1,0)</f>
        <v>0</v>
      </c>
    </row>
    <row r="70" customFormat="false" ht="15" hidden="false" customHeight="false" outlineLevel="0" collapsed="false">
      <c r="A70" s="21" t="n">
        <v>45930</v>
      </c>
      <c r="B70" s="37" t="n">
        <v>1.1741</v>
      </c>
      <c r="C70" s="38" t="n">
        <f aca="false">B70/B69-1</f>
        <v>0.00153544314595244</v>
      </c>
      <c r="D70" s="19" t="n">
        <f aca="false">ABS(C70)</f>
        <v>0.00153544314595244</v>
      </c>
      <c r="E70" s="19" t="n">
        <f aca="false">AVERAGE(D10:D69)</f>
        <v>0.00334071869053331</v>
      </c>
      <c r="F70" s="16" t="n">
        <f aca="false">D70/E70</f>
        <v>0.459614618346486</v>
      </c>
      <c r="G70" s="15" t="n">
        <f aca="false">IF(F70&gt;Summary!$B$27,1,0)</f>
        <v>0</v>
      </c>
    </row>
    <row r="71" customFormat="false" ht="15" hidden="false" customHeight="false" outlineLevel="0" collapsed="false">
      <c r="A71" s="21" t="n">
        <v>45931</v>
      </c>
      <c r="B71" s="37" t="n">
        <v>1.1724</v>
      </c>
      <c r="C71" s="38" t="n">
        <f aca="false">B71/B70-1</f>
        <v>-0.00144791755387086</v>
      </c>
      <c r="D71" s="19" t="n">
        <f aca="false">ABS(C71)</f>
        <v>0.00144791755387086</v>
      </c>
      <c r="E71" s="19" t="n">
        <f aca="false">AVERAGE(D11:D70)</f>
        <v>0.00335209840463024</v>
      </c>
      <c r="F71" s="16" t="n">
        <f aca="false">D71/E71</f>
        <v>0.431943630255858</v>
      </c>
      <c r="G71" s="15" t="n">
        <f aca="false">IF(F71&gt;Summary!$B$27,1,0)</f>
        <v>0</v>
      </c>
    </row>
    <row r="72" customFormat="false" ht="15" hidden="false" customHeight="false" outlineLevel="0" collapsed="false">
      <c r="A72" s="21" t="n">
        <v>45932</v>
      </c>
      <c r="B72" s="37" t="n">
        <v>1.1754</v>
      </c>
      <c r="C72" s="38" t="n">
        <f aca="false">B72/B71-1</f>
        <v>0.00255885363357211</v>
      </c>
      <c r="D72" s="19" t="n">
        <f aca="false">ABS(C72)</f>
        <v>0.00255885363357211</v>
      </c>
      <c r="E72" s="19" t="n">
        <f aca="false">AVERAGE(D12:D71)</f>
        <v>0.00334778409885602</v>
      </c>
      <c r="F72" s="16" t="n">
        <f aca="false">D72/E72</f>
        <v>0.764342489841715</v>
      </c>
      <c r="G72" s="15" t="n">
        <f aca="false">IF(F72&gt;Summary!$B$27,1,0)</f>
        <v>0</v>
      </c>
    </row>
    <row r="73" customFormat="false" ht="15" hidden="false" customHeight="false" outlineLevel="0" collapsed="false">
      <c r="A73" s="21" t="n">
        <v>45933</v>
      </c>
      <c r="B73" s="37" t="n">
        <v>1.1734</v>
      </c>
      <c r="C73" s="38" t="n">
        <f aca="false">B73/B72-1</f>
        <v>-0.00170154840905223</v>
      </c>
      <c r="D73" s="19" t="n">
        <f aca="false">ABS(C73)</f>
        <v>0.00170154840905223</v>
      </c>
      <c r="E73" s="19" t="n">
        <f aca="false">AVERAGE(D13:D72)</f>
        <v>0.0033747594647384</v>
      </c>
      <c r="F73" s="16" t="n">
        <f aca="false">D73/E73</f>
        <v>0.504198425645169</v>
      </c>
      <c r="G73" s="15" t="n">
        <f aca="false">IF(F73&gt;Summary!$B$27,1,0)</f>
        <v>0</v>
      </c>
    </row>
    <row r="74" customFormat="false" ht="15" hidden="false" customHeight="false" outlineLevel="0" collapsed="false">
      <c r="A74" s="21" t="n">
        <v>45936</v>
      </c>
      <c r="B74" s="37" t="n">
        <v>1.1678</v>
      </c>
      <c r="C74" s="38" t="n">
        <f aca="false">B74/B73-1</f>
        <v>-0.0047724561104483</v>
      </c>
      <c r="D74" s="19" t="n">
        <f aca="false">ABS(C74)</f>
        <v>0.0047724561104483</v>
      </c>
      <c r="E74" s="19" t="n">
        <f aca="false">AVERAGE(D14:D73)</f>
        <v>0.00336611003598216</v>
      </c>
      <c r="F74" s="16" t="n">
        <f aca="false">D74/E74</f>
        <v>1.41779563336699</v>
      </c>
      <c r="G74" s="15" t="n">
        <f aca="false">IF(F74&gt;Summary!$B$27,1,0)</f>
        <v>0</v>
      </c>
    </row>
    <row r="75" customFormat="false" ht="15" hidden="false" customHeight="false" outlineLevel="0" collapsed="false">
      <c r="A75" s="21" t="n">
        <v>45937</v>
      </c>
      <c r="B75" s="37" t="n">
        <v>1.1666</v>
      </c>
      <c r="C75" s="38" t="n">
        <f aca="false">B75/B74-1</f>
        <v>-0.00102757321459146</v>
      </c>
      <c r="D75" s="19" t="n">
        <f aca="false">ABS(C75)</f>
        <v>0.00102757321459146</v>
      </c>
      <c r="E75" s="19" t="n">
        <f aca="false">AVERAGE(D15:D74)</f>
        <v>0.00343566495158369</v>
      </c>
      <c r="F75" s="16" t="n">
        <f aca="false">D75/E75</f>
        <v>0.299090053620564</v>
      </c>
      <c r="G75" s="15" t="n">
        <f aca="false">IF(F75&gt;Summary!$B$27,1,0)</f>
        <v>0</v>
      </c>
    </row>
    <row r="76" customFormat="false" ht="15" hidden="false" customHeight="false" outlineLevel="0" collapsed="false">
      <c r="A76" s="21" t="n">
        <v>45938</v>
      </c>
      <c r="B76" s="37" t="n">
        <v>1.1627</v>
      </c>
      <c r="C76" s="38" t="n">
        <f aca="false">B76/B75-1</f>
        <v>-0.00334304817418141</v>
      </c>
      <c r="D76" s="19" t="n">
        <f aca="false">ABS(C76)</f>
        <v>0.00334304817418141</v>
      </c>
      <c r="E76" s="19" t="n">
        <f aca="false">AVERAGE(D16:D75)</f>
        <v>0.00341714817211203</v>
      </c>
      <c r="F76" s="16" t="n">
        <f aca="false">D76/E76</f>
        <v>0.978315251725001</v>
      </c>
      <c r="G76" s="15" t="n">
        <f aca="false">IF(F76&gt;Summary!$B$27,1,0)</f>
        <v>0</v>
      </c>
    </row>
    <row r="77" customFormat="false" ht="15" hidden="false" customHeight="false" outlineLevel="0" collapsed="false">
      <c r="A77" s="21" t="n">
        <v>45939</v>
      </c>
      <c r="B77" s="37" t="n">
        <v>1.1611</v>
      </c>
      <c r="C77" s="38" t="n">
        <f aca="false">B77/B76-1</f>
        <v>-0.00137610733637228</v>
      </c>
      <c r="D77" s="19" t="n">
        <f aca="false">ABS(C77)</f>
        <v>0.00137610733637228</v>
      </c>
      <c r="E77" s="19" t="n">
        <f aca="false">AVERAGE(D17:D76)</f>
        <v>0.00338285278270186</v>
      </c>
      <c r="F77" s="16" t="n">
        <f aca="false">D77/E77</f>
        <v>0.406789010567936</v>
      </c>
      <c r="G77" s="15" t="n">
        <f aca="false">IF(F77&gt;Summary!$B$27,1,0)</f>
        <v>0</v>
      </c>
    </row>
    <row r="78" customFormat="false" ht="15" hidden="false" customHeight="false" outlineLevel="0" collapsed="false">
      <c r="A78" s="21" t="n">
        <v>45940</v>
      </c>
      <c r="B78" s="37" t="n">
        <v>1.1568</v>
      </c>
      <c r="C78" s="38" t="n">
        <f aca="false">B78/B77-1</f>
        <v>-0.00370338472138487</v>
      </c>
      <c r="D78" s="19" t="n">
        <f aca="false">ABS(C78)</f>
        <v>0.00370338472138487</v>
      </c>
      <c r="E78" s="19" t="n">
        <f aca="false">AVERAGE(D18:D77)</f>
        <v>0.00337274762456331</v>
      </c>
      <c r="F78" s="16" t="n">
        <f aca="false">D78/E78</f>
        <v>1.09803197085177</v>
      </c>
      <c r="G78" s="15" t="n">
        <f aca="false">IF(F78&gt;Summary!$B$27,1,0)</f>
        <v>0</v>
      </c>
    </row>
    <row r="79" customFormat="false" ht="15" hidden="false" customHeight="false" outlineLevel="0" collapsed="false">
      <c r="A79" s="21" t="n">
        <v>45943</v>
      </c>
      <c r="B79" s="37" t="n">
        <v>1.1569</v>
      </c>
      <c r="C79" s="38" t="n">
        <f aca="false">B79/B78-1</f>
        <v>8.64453665283538E-005</v>
      </c>
      <c r="D79" s="19" t="n">
        <f aca="false">ABS(C79)</f>
        <v>8.64453665283538E-005</v>
      </c>
      <c r="E79" s="19" t="n">
        <f aca="false">AVERAGE(D19:D78)</f>
        <v>0.00333227419808566</v>
      </c>
      <c r="F79" s="16" t="n">
        <f aca="false">D79/E79</f>
        <v>0.0259418527376935</v>
      </c>
      <c r="G79" s="15" t="n">
        <f aca="false">IF(F79&gt;Summary!$B$27,1,0)</f>
        <v>0</v>
      </c>
    </row>
    <row r="80" customFormat="false" ht="15" hidden="false" customHeight="false" outlineLevel="0" collapsed="false">
      <c r="A80" s="21" t="n">
        <v>45944</v>
      </c>
      <c r="B80" s="37" t="n">
        <v>1.1553</v>
      </c>
      <c r="C80" s="38" t="n">
        <f aca="false">B80/B79-1</f>
        <v>-0.00138300630996635</v>
      </c>
      <c r="D80" s="19" t="n">
        <f aca="false">ABS(C80)</f>
        <v>0.00138300630996635</v>
      </c>
      <c r="E80" s="19" t="n">
        <f aca="false">AVERAGE(D20:D79)</f>
        <v>0.00330939449639761</v>
      </c>
      <c r="F80" s="16" t="n">
        <f aca="false">D80/E80</f>
        <v>0.417903127436696</v>
      </c>
      <c r="G80" s="15" t="n">
        <f aca="false">IF(F80&gt;Summary!$B$27,1,0)</f>
        <v>0</v>
      </c>
    </row>
    <row r="81" customFormat="false" ht="15" hidden="false" customHeight="false" outlineLevel="0" collapsed="false">
      <c r="A81" s="21" t="n">
        <v>45945</v>
      </c>
      <c r="B81" s="37" t="n">
        <v>1.1622</v>
      </c>
      <c r="C81" s="38" t="n">
        <f aca="false">B81/B80-1</f>
        <v>0.00597247468190076</v>
      </c>
      <c r="D81" s="19" t="n">
        <f aca="false">ABS(C81)</f>
        <v>0.00597247468190076</v>
      </c>
      <c r="E81" s="19" t="n">
        <f aca="false">AVERAGE(D21:D80)</f>
        <v>0.00328673162193456</v>
      </c>
      <c r="F81" s="16" t="n">
        <f aca="false">D81/E81</f>
        <v>1.81714705333482</v>
      </c>
      <c r="G81" s="15" t="n">
        <f aca="false">IF(F81&gt;Summary!$B$27,1,0)</f>
        <v>1</v>
      </c>
    </row>
    <row r="82" customFormat="false" ht="15" hidden="false" customHeight="false" outlineLevel="0" collapsed="false">
      <c r="A82" s="21" t="n">
        <v>45946</v>
      </c>
      <c r="B82" s="37" t="n">
        <v>1.1649</v>
      </c>
      <c r="C82" s="38" t="n">
        <f aca="false">B82/B81-1</f>
        <v>0.00232318017552924</v>
      </c>
      <c r="D82" s="19" t="n">
        <f aca="false">ABS(C82)</f>
        <v>0.00232318017552924</v>
      </c>
      <c r="E82" s="19" t="n">
        <f aca="false">AVERAGE(D22:D81)</f>
        <v>0.0033478080405794</v>
      </c>
      <c r="F82" s="16" t="n">
        <f aca="false">D82/E82</f>
        <v>0.693940676218452</v>
      </c>
      <c r="G82" s="15" t="n">
        <f aca="false">IF(F82&gt;Summary!$B$27,1,0)</f>
        <v>0</v>
      </c>
    </row>
    <row r="83" customFormat="false" ht="15" hidden="false" customHeight="false" outlineLevel="0" collapsed="false">
      <c r="A83" s="21" t="n">
        <v>45947</v>
      </c>
      <c r="B83" s="37" t="n">
        <v>1.1681</v>
      </c>
      <c r="C83" s="38" t="n">
        <f aca="false">B83/B82-1</f>
        <v>0.00274701691132284</v>
      </c>
      <c r="D83" s="19" t="n">
        <f aca="false">ABS(C83)</f>
        <v>0.00274701691132284</v>
      </c>
      <c r="E83" s="19" t="n">
        <f aca="false">AVERAGE(D23:D82)</f>
        <v>0.00334388742362883</v>
      </c>
      <c r="F83" s="16" t="n">
        <f aca="false">D83/E83</f>
        <v>0.821504005162275</v>
      </c>
      <c r="G83" s="15" t="n">
        <f aca="false">IF(F83&gt;Summary!$B$27,1,0)</f>
        <v>0</v>
      </c>
    </row>
    <row r="84" customFormat="false" ht="15" hidden="false" customHeight="false" outlineLevel="0" collapsed="false">
      <c r="A84" s="21" t="n">
        <v>45950</v>
      </c>
      <c r="B84" s="37" t="n">
        <v>1.1655</v>
      </c>
      <c r="C84" s="38" t="n">
        <f aca="false">B84/B83-1</f>
        <v>-0.00222583682903854</v>
      </c>
      <c r="D84" s="19" t="n">
        <f aca="false">ABS(C84)</f>
        <v>0.00222583682903854</v>
      </c>
      <c r="E84" s="19" t="n">
        <f aca="false">AVERAGE(D24:D83)</f>
        <v>0.00334430413397463</v>
      </c>
      <c r="F84" s="16" t="n">
        <f aca="false">D84/E84</f>
        <v>0.665560529147565</v>
      </c>
      <c r="G84" s="15" t="n">
        <f aca="false">IF(F84&gt;Summary!$B$27,1,0)</f>
        <v>0</v>
      </c>
    </row>
    <row r="85" customFormat="false" ht="15" hidden="false" customHeight="false" outlineLevel="0" collapsed="false">
      <c r="A85" s="21" t="n">
        <v>45951</v>
      </c>
      <c r="B85" s="37" t="n">
        <v>1.1607</v>
      </c>
      <c r="C85" s="38" t="n">
        <f aca="false">B85/B84-1</f>
        <v>-0.00411840411840403</v>
      </c>
      <c r="D85" s="19" t="n">
        <f aca="false">ABS(C85)</f>
        <v>0.00411840411840403</v>
      </c>
      <c r="E85" s="19" t="n">
        <f aca="false">AVERAGE(D25:D84)</f>
        <v>0.00328189043981968</v>
      </c>
      <c r="F85" s="16" t="n">
        <f aca="false">D85/E85</f>
        <v>1.25488775263025</v>
      </c>
      <c r="G85" s="15" t="n">
        <f aca="false">IF(F85&gt;Summary!$B$27,1,0)</f>
        <v>0</v>
      </c>
    </row>
    <row r="86" customFormat="false" ht="15" hidden="false" customHeight="false" outlineLevel="0" collapsed="false">
      <c r="A86" s="21" t="n">
        <v>45952</v>
      </c>
      <c r="B86" s="37" t="n">
        <v>1.1587</v>
      </c>
      <c r="C86" s="38" t="n">
        <f aca="false">B86/B85-1</f>
        <v>-0.00172309813043858</v>
      </c>
      <c r="D86" s="19" t="n">
        <f aca="false">ABS(C86)</f>
        <v>0.00172309813043858</v>
      </c>
      <c r="E86" s="19" t="n">
        <f aca="false">AVERAGE(D26:D85)</f>
        <v>0.00317748548815199</v>
      </c>
      <c r="F86" s="16" t="n">
        <f aca="false">D86/E86</f>
        <v>0.542283556247091</v>
      </c>
      <c r="G86" s="15" t="n">
        <f aca="false">IF(F86&gt;Summary!$B$27,1,0)</f>
        <v>0</v>
      </c>
    </row>
    <row r="87" customFormat="false" ht="15" hidden="false" customHeight="false" outlineLevel="0" collapsed="false">
      <c r="A87" s="21" t="n">
        <v>45953</v>
      </c>
      <c r="B87" s="37" t="n">
        <v>1.1593</v>
      </c>
      <c r="C87" s="38" t="n">
        <f aca="false">B87/B86-1</f>
        <v>0.000517821696728982</v>
      </c>
      <c r="D87" s="19" t="n">
        <f aca="false">ABS(C87)</f>
        <v>0.000517821696728982</v>
      </c>
      <c r="E87" s="19" t="n">
        <f aca="false">AVERAGE(D27:D86)</f>
        <v>0.00319753301949444</v>
      </c>
      <c r="F87" s="16" t="n">
        <f aca="false">D87/E87</f>
        <v>0.161944128042454</v>
      </c>
      <c r="G87" s="15" t="n">
        <f aca="false">IF(F87&gt;Summary!$B$27,1,0)</f>
        <v>0</v>
      </c>
    </row>
    <row r="88" customFormat="false" ht="15" hidden="false" customHeight="false" outlineLevel="0" collapsed="false">
      <c r="A88" s="21" t="n">
        <v>45954</v>
      </c>
      <c r="B88" s="37" t="n">
        <v>1.1612</v>
      </c>
      <c r="C88" s="38" t="n">
        <f aca="false">B88/B87-1</f>
        <v>0.00163892003795385</v>
      </c>
      <c r="D88" s="19" t="n">
        <f aca="false">ABS(C88)</f>
        <v>0.00163892003795385</v>
      </c>
      <c r="E88" s="19" t="n">
        <f aca="false">AVERAGE(D28:D87)</f>
        <v>0.0030890470455466</v>
      </c>
      <c r="F88" s="16" t="n">
        <f aca="false">D88/E88</f>
        <v>0.530558458252243</v>
      </c>
      <c r="G88" s="15" t="n">
        <f aca="false">IF(F88&gt;Summary!$B$27,1,0)</f>
        <v>0</v>
      </c>
    </row>
    <row r="89" customFormat="false" ht="15" hidden="false" customHeight="false" outlineLevel="0" collapsed="false">
      <c r="A89" s="21" t="n">
        <v>45957</v>
      </c>
      <c r="B89" s="37" t="n">
        <v>1.164</v>
      </c>
      <c r="C89" s="38" t="n">
        <f aca="false">B89/B88-1</f>
        <v>0.00241129865656209</v>
      </c>
      <c r="D89" s="19" t="n">
        <f aca="false">ABS(C89)</f>
        <v>0.00241129865656209</v>
      </c>
      <c r="E89" s="19" t="n">
        <f aca="false">AVERAGE(D29:D88)</f>
        <v>0.00305520564353486</v>
      </c>
      <c r="F89" s="16" t="n">
        <f aca="false">D89/E89</f>
        <v>0.789242669037566</v>
      </c>
      <c r="G89" s="15" t="n">
        <f aca="false">IF(F89&gt;Summary!$B$27,1,0)</f>
        <v>0</v>
      </c>
    </row>
    <row r="90" customFormat="false" ht="15" hidden="false" customHeight="false" outlineLevel="0" collapsed="false">
      <c r="A90" s="21" t="n">
        <v>45958</v>
      </c>
      <c r="B90" s="37" t="n">
        <v>1.163</v>
      </c>
      <c r="C90" s="38" t="n">
        <f aca="false">B90/B89-1</f>
        <v>-0.000859106529209508</v>
      </c>
      <c r="D90" s="19" t="n">
        <f aca="false">ABS(C90)</f>
        <v>0.000859106529209508</v>
      </c>
      <c r="E90" s="19" t="n">
        <f aca="false">AVERAGE(D30:D89)</f>
        <v>0.00286009639806461</v>
      </c>
      <c r="F90" s="16" t="n">
        <f aca="false">D90/E90</f>
        <v>0.300376773940506</v>
      </c>
      <c r="G90" s="15" t="n">
        <f aca="false">IF(F90&gt;Summary!$B$27,1,0)</f>
        <v>0</v>
      </c>
    </row>
    <row r="91" customFormat="false" ht="15" hidden="false" customHeight="false" outlineLevel="0" collapsed="false">
      <c r="A91" s="21" t="n">
        <v>45959</v>
      </c>
      <c r="B91" s="37" t="n">
        <v>1.1636</v>
      </c>
      <c r="C91" s="38" t="n">
        <f aca="false">B91/B90-1</f>
        <v>0.000515907136715343</v>
      </c>
      <c r="D91" s="19" t="n">
        <f aca="false">ABS(C91)</f>
        <v>0.000515907136715343</v>
      </c>
      <c r="E91" s="19" t="n">
        <f aca="false">AVERAGE(D31:D90)</f>
        <v>0.00284703337314792</v>
      </c>
      <c r="F91" s="16" t="n">
        <f aca="false">D91/E91</f>
        <v>0.181208672009669</v>
      </c>
      <c r="G91" s="15" t="n">
        <f aca="false">IF(F91&gt;Summary!$B$27,1,0)</f>
        <v>0</v>
      </c>
    </row>
    <row r="92" customFormat="false" ht="15" hidden="false" customHeight="false" outlineLevel="0" collapsed="false">
      <c r="A92" s="21" t="n">
        <v>45960</v>
      </c>
      <c r="B92" s="37" t="n">
        <v>1.155</v>
      </c>
      <c r="C92" s="38" t="n">
        <f aca="false">B92/B91-1</f>
        <v>-0.00739085596424882</v>
      </c>
      <c r="D92" s="19" t="n">
        <f aca="false">ABS(C92)</f>
        <v>0.00739085596424882</v>
      </c>
      <c r="E92" s="19" t="n">
        <f aca="false">AVERAGE(D32:D91)</f>
        <v>0.00277190874672681</v>
      </c>
      <c r="F92" s="16" t="n">
        <f aca="false">D92/E92</f>
        <v>2.66634173039652</v>
      </c>
      <c r="G92" s="15" t="n">
        <f aca="false">IF(F92&gt;Summary!$B$27,1,0)</f>
        <v>1</v>
      </c>
    </row>
    <row r="93" customFormat="false" ht="15" hidden="false" customHeight="false" outlineLevel="0" collapsed="false">
      <c r="A93" s="21" t="n">
        <v>45961</v>
      </c>
      <c r="B93" s="37" t="n">
        <v>1.1554</v>
      </c>
      <c r="C93" s="38" t="n">
        <f aca="false">B93/B92-1</f>
        <v>0.000346320346320317</v>
      </c>
      <c r="D93" s="19" t="n">
        <f aca="false">ABS(C93)</f>
        <v>0.000346320346320317</v>
      </c>
      <c r="E93" s="19" t="n">
        <f aca="false">AVERAGE(D33:D92)</f>
        <v>0.00283907451228057</v>
      </c>
      <c r="F93" s="16" t="n">
        <f aca="false">D93/E93</f>
        <v>0.121983535417013</v>
      </c>
      <c r="G93" s="15" t="n">
        <f aca="false">IF(F93&gt;Summary!$B$27,1,0)</f>
        <v>0</v>
      </c>
    </row>
    <row r="94" customFormat="false" ht="15" hidden="false" customHeight="false" outlineLevel="0" collapsed="false">
      <c r="A94" s="21" t="n">
        <v>45964</v>
      </c>
      <c r="B94" s="37" t="n">
        <v>1.1514</v>
      </c>
      <c r="C94" s="38" t="n">
        <f aca="false">B94/B93-1</f>
        <v>-0.00346200450060585</v>
      </c>
      <c r="D94" s="19" t="n">
        <f aca="false">ABS(C94)</f>
        <v>0.00346200450060585</v>
      </c>
      <c r="E94" s="19" t="n">
        <f aca="false">AVERAGE(D34:D93)</f>
        <v>0.00283768914166046</v>
      </c>
      <c r="F94" s="16" t="n">
        <f aca="false">D94/E94</f>
        <v>1.22000836870387</v>
      </c>
      <c r="G94" s="15" t="n">
        <f aca="false">IF(F94&gt;Summary!$B$27,1,0)</f>
        <v>0</v>
      </c>
    </row>
    <row r="95" customFormat="false" ht="15" hidden="false" customHeight="false" outlineLevel="0" collapsed="false">
      <c r="A95" s="21" t="n">
        <v>45965</v>
      </c>
      <c r="B95" s="37" t="n">
        <v>1.1491</v>
      </c>
      <c r="C95" s="38" t="n">
        <f aca="false">B95/B94-1</f>
        <v>-0.00199756817787045</v>
      </c>
      <c r="D95" s="19" t="n">
        <f aca="false">ABS(C95)</f>
        <v>0.00199756817787045</v>
      </c>
      <c r="E95" s="19" t="n">
        <f aca="false">AVERAGE(D35:D94)</f>
        <v>0.00285818683571817</v>
      </c>
      <c r="F95" s="16" t="n">
        <f aca="false">D95/E95</f>
        <v>0.698893491813498</v>
      </c>
      <c r="G95" s="15" t="n">
        <f aca="false">IF(F95&gt;Summary!$B$27,1,0)</f>
        <v>0</v>
      </c>
    </row>
    <row r="96" customFormat="false" ht="15" hidden="false" customHeight="false" outlineLevel="0" collapsed="false">
      <c r="A96" s="21" t="n">
        <v>45966</v>
      </c>
      <c r="B96" s="37" t="n">
        <v>1.1492</v>
      </c>
      <c r="C96" s="38" t="n">
        <f aca="false">B96/B95-1</f>
        <v>8.70246279696119E-005</v>
      </c>
      <c r="D96" s="19" t="n">
        <f aca="false">ABS(C96)</f>
        <v>8.70246279696119E-005</v>
      </c>
      <c r="E96" s="19" t="n">
        <f aca="false">AVERAGE(D36:D95)</f>
        <v>0.00286853464929474</v>
      </c>
      <c r="F96" s="16" t="n">
        <f aca="false">D96/E96</f>
        <v>0.0303376596796583</v>
      </c>
      <c r="G96" s="15" t="n">
        <f aca="false">IF(F96&gt;Summary!$B$27,1,0)</f>
        <v>0</v>
      </c>
    </row>
    <row r="97" customFormat="false" ht="15" hidden="false" customHeight="false" outlineLevel="0" collapsed="false">
      <c r="A97" s="21" t="n">
        <v>45967</v>
      </c>
      <c r="B97" s="37" t="n">
        <v>1.1533</v>
      </c>
      <c r="C97" s="38" t="n">
        <f aca="false">B97/B96-1</f>
        <v>0.00356769926905676</v>
      </c>
      <c r="D97" s="19" t="n">
        <f aca="false">ABS(C97)</f>
        <v>0.00356769926905676</v>
      </c>
      <c r="E97" s="19" t="n">
        <f aca="false">AVERAGE(D37:D96)</f>
        <v>0.00271920098255946</v>
      </c>
      <c r="F97" s="16" t="n">
        <f aca="false">D97/E97</f>
        <v>1.31203956306998</v>
      </c>
      <c r="G97" s="15" t="n">
        <f aca="false">IF(F97&gt;Summary!$B$27,1,0)</f>
        <v>0</v>
      </c>
    </row>
    <row r="98" customFormat="false" ht="15" hidden="false" customHeight="false" outlineLevel="0" collapsed="false">
      <c r="A98" s="21" t="n">
        <v>45968</v>
      </c>
      <c r="B98" s="37" t="n">
        <v>1.1561</v>
      </c>
      <c r="C98" s="38" t="n">
        <f aca="false">B98/B97-1</f>
        <v>0.00242781583282747</v>
      </c>
      <c r="D98" s="19" t="n">
        <f aca="false">ABS(C98)</f>
        <v>0.00242781583282747</v>
      </c>
      <c r="E98" s="19" t="n">
        <f aca="false">AVERAGE(D38:D97)</f>
        <v>0.00274877620548366</v>
      </c>
      <c r="F98" s="16" t="n">
        <f aca="false">D98/E98</f>
        <v>0.883235174978636</v>
      </c>
      <c r="G98" s="15" t="n">
        <f aca="false">IF(F98&gt;Summary!$B$27,1,0)</f>
        <v>0</v>
      </c>
    </row>
    <row r="99" customFormat="false" ht="15" hidden="false" customHeight="false" outlineLevel="0" collapsed="false">
      <c r="A99" s="21" t="n">
        <v>45971</v>
      </c>
      <c r="B99" s="37" t="n">
        <v>1.1571</v>
      </c>
      <c r="C99" s="38" t="n">
        <f aca="false">B99/B98-1</f>
        <v>0.00086497707810751</v>
      </c>
      <c r="D99" s="19" t="n">
        <f aca="false">ABS(C99)</f>
        <v>0.00086497707810751</v>
      </c>
      <c r="E99" s="19" t="n">
        <f aca="false">AVERAGE(D39:D98)</f>
        <v>0.00278638836272027</v>
      </c>
      <c r="F99" s="16" t="n">
        <f aca="false">D99/E99</f>
        <v>0.31042947554628</v>
      </c>
      <c r="G99" s="15" t="n">
        <f aca="false">IF(F99&gt;Summary!$B$27,1,0)</f>
        <v>0</v>
      </c>
    </row>
    <row r="100" customFormat="false" ht="15" hidden="false" customHeight="false" outlineLevel="0" collapsed="false">
      <c r="A100" s="21" t="n">
        <v>45972</v>
      </c>
      <c r="B100" s="37" t="n">
        <v>1.1575</v>
      </c>
      <c r="C100" s="38" t="n">
        <f aca="false">B100/B99-1</f>
        <v>0.000345691815746285</v>
      </c>
      <c r="D100" s="19" t="n">
        <f aca="false">ABS(C100)</f>
        <v>0.000345691815746285</v>
      </c>
      <c r="E100" s="19" t="n">
        <f aca="false">AVERAGE(D40:D99)</f>
        <v>0.00277941518808092</v>
      </c>
      <c r="F100" s="16" t="n">
        <f aca="false">D100/E100</f>
        <v>0.124375738187202</v>
      </c>
      <c r="G100" s="15" t="n">
        <f aca="false">IF(F100&gt;Summary!$B$27,1,0)</f>
        <v>0</v>
      </c>
    </row>
    <row r="101" customFormat="false" ht="15" hidden="false" customHeight="false" outlineLevel="0" collapsed="false">
      <c r="A101" s="21" t="n">
        <v>45973</v>
      </c>
      <c r="B101" s="37" t="n">
        <v>1.1576</v>
      </c>
      <c r="C101" s="38" t="n">
        <f aca="false">B101/B100-1</f>
        <v>8.63930885528497E-005</v>
      </c>
      <c r="D101" s="19" t="n">
        <f aca="false">ABS(C101)</f>
        <v>8.63930885528497E-005</v>
      </c>
      <c r="E101" s="19" t="n">
        <f aca="false">AVERAGE(D41:D100)</f>
        <v>0.00277232655129119</v>
      </c>
      <c r="F101" s="16" t="n">
        <f aca="false">D101/E101</f>
        <v>0.0311626667906826</v>
      </c>
      <c r="G101" s="15" t="n">
        <f aca="false">IF(F101&gt;Summary!$B$27,1,0)</f>
        <v>0</v>
      </c>
    </row>
    <row r="102" customFormat="false" ht="15" hidden="false" customHeight="false" outlineLevel="0" collapsed="false">
      <c r="A102" s="21" t="n">
        <v>45974</v>
      </c>
      <c r="B102" s="37" t="n">
        <v>1.1619</v>
      </c>
      <c r="C102" s="38" t="n">
        <f aca="false">B102/B101-1</f>
        <v>0.00371458189357288</v>
      </c>
      <c r="D102" s="19" t="n">
        <f aca="false">ABS(C102)</f>
        <v>0.00371458189357288</v>
      </c>
      <c r="E102" s="19" t="n">
        <f aca="false">AVERAGE(D42:D101)</f>
        <v>0.00272953884949994</v>
      </c>
      <c r="F102" s="16" t="n">
        <f aca="false">D102/E102</f>
        <v>1.36088258800691</v>
      </c>
      <c r="G102" s="15" t="n">
        <f aca="false">IF(F102&gt;Summary!$B$27,1,0)</f>
        <v>0</v>
      </c>
    </row>
    <row r="103" customFormat="false" ht="15" hidden="false" customHeight="false" outlineLevel="0" collapsed="false">
      <c r="A103" s="21" t="n">
        <v>45975</v>
      </c>
      <c r="B103" s="37" t="n">
        <v>1.1648</v>
      </c>
      <c r="C103" s="38" t="n">
        <f aca="false">B103/B102-1</f>
        <v>0.0024959118684913</v>
      </c>
      <c r="D103" s="19" t="n">
        <f aca="false">ABS(C103)</f>
        <v>0.0024959118684913</v>
      </c>
      <c r="E103" s="19" t="n">
        <f aca="false">AVERAGE(D43:D102)</f>
        <v>0.00277428263922044</v>
      </c>
      <c r="F103" s="16" t="n">
        <f aca="false">D103/E103</f>
        <v>0.899660270084317</v>
      </c>
      <c r="G103" s="15" t="n">
        <f aca="false">IF(F103&gt;Summary!$B$27,1,0)</f>
        <v>0</v>
      </c>
    </row>
    <row r="104" customFormat="false" ht="15" hidden="false" customHeight="false" outlineLevel="0" collapsed="false">
      <c r="A104" s="21" t="n">
        <v>45978</v>
      </c>
      <c r="B104" s="37" t="n">
        <v>1.1593</v>
      </c>
      <c r="C104" s="38" t="n">
        <f aca="false">B104/B103-1</f>
        <v>-0.00472184065934067</v>
      </c>
      <c r="D104" s="19" t="n">
        <f aca="false">ABS(C104)</f>
        <v>0.00472184065934067</v>
      </c>
      <c r="E104" s="19" t="n">
        <f aca="false">AVERAGE(D44:D103)</f>
        <v>0.00277149018602769</v>
      </c>
      <c r="F104" s="16" t="n">
        <f aca="false">D104/E104</f>
        <v>1.70371906173277</v>
      </c>
      <c r="G104" s="15" t="n">
        <f aca="false">IF(F104&gt;Summary!$B$27,1,0)</f>
        <v>1</v>
      </c>
    </row>
    <row r="105" customFormat="false" ht="15" hidden="false" customHeight="false" outlineLevel="0" collapsed="false">
      <c r="A105" s="21" t="n">
        <v>45979</v>
      </c>
      <c r="B105" s="37" t="n">
        <v>1.159</v>
      </c>
      <c r="C105" s="38" t="n">
        <f aca="false">B105/B104-1</f>
        <v>-0.000258776848097941</v>
      </c>
      <c r="D105" s="19" t="n">
        <f aca="false">ABS(C105)</f>
        <v>0.000258776848097941</v>
      </c>
      <c r="E105" s="19" t="n">
        <f aca="false">AVERAGE(D45:D104)</f>
        <v>0.00272240209501808</v>
      </c>
      <c r="F105" s="16" t="n">
        <f aca="false">D105/E105</f>
        <v>0.095054602173388</v>
      </c>
      <c r="G105" s="15" t="n">
        <f aca="false">IF(F105&gt;Summary!$B$27,1,0)</f>
        <v>0</v>
      </c>
    </row>
    <row r="106" customFormat="false" ht="15" hidden="false" customHeight="false" outlineLevel="0" collapsed="false">
      <c r="A106" s="21" t="n">
        <v>45980</v>
      </c>
      <c r="B106" s="37" t="n">
        <v>1.1583</v>
      </c>
      <c r="C106" s="38" t="n">
        <f aca="false">B106/B105-1</f>
        <v>-0.000603968938740263</v>
      </c>
      <c r="D106" s="19" t="n">
        <f aca="false">ABS(C106)</f>
        <v>0.000603968938740263</v>
      </c>
      <c r="E106" s="19" t="n">
        <f aca="false">AVERAGE(D46:D105)</f>
        <v>0.00266829550471316</v>
      </c>
      <c r="F106" s="16" t="n">
        <f aca="false">D106/E106</f>
        <v>0.22635009416065</v>
      </c>
      <c r="G106" s="15" t="n">
        <f aca="false">IF(F106&gt;Summary!$B$27,1,0)</f>
        <v>0</v>
      </c>
    </row>
    <row r="107" customFormat="false" ht="15" hidden="false" customHeight="false" outlineLevel="0" collapsed="false">
      <c r="A107" s="21" t="n">
        <v>45981</v>
      </c>
      <c r="B107" s="37" t="n">
        <v>1.1514</v>
      </c>
      <c r="C107" s="38" t="n">
        <f aca="false">B107/B106-1</f>
        <v>-0.0059570059570061</v>
      </c>
      <c r="D107" s="19" t="n">
        <f aca="false">ABS(C107)</f>
        <v>0.0059570059570061</v>
      </c>
      <c r="E107" s="19" t="n">
        <f aca="false">AVERAGE(D47:D106)</f>
        <v>0.00258827929267638</v>
      </c>
      <c r="F107" s="16" t="n">
        <f aca="false">D107/E107</f>
        <v>2.30153135863724</v>
      </c>
      <c r="G107" s="15" t="n">
        <f aca="false">IF(F107&gt;Summary!$B$27,1,0)</f>
        <v>1</v>
      </c>
    </row>
    <row r="108" customFormat="false" ht="15" hidden="false" customHeight="false" outlineLevel="0" collapsed="false">
      <c r="A108" s="21" t="n">
        <v>45982</v>
      </c>
      <c r="B108" s="37" t="n">
        <v>1.152</v>
      </c>
      <c r="C108" s="38" t="n">
        <f aca="false">B108/B107-1</f>
        <v>0.000521104742053025</v>
      </c>
      <c r="D108" s="19" t="n">
        <f aca="false">ABS(C108)</f>
        <v>0.000521104742053025</v>
      </c>
      <c r="E108" s="19" t="n">
        <f aca="false">AVERAGE(D48:D107)</f>
        <v>0.00256823784533685</v>
      </c>
      <c r="F108" s="16" t="n">
        <f aca="false">D108/E108</f>
        <v>0.202903614631797</v>
      </c>
      <c r="G108" s="15" t="n">
        <f aca="false">IF(F108&gt;Summary!$B$27,1,0)</f>
        <v>0</v>
      </c>
    </row>
    <row r="109" customFormat="false" ht="15" hidden="false" customHeight="false" outlineLevel="0" collapsed="false">
      <c r="A109" s="21" t="n">
        <v>45985</v>
      </c>
      <c r="B109" s="37" t="n">
        <v>1.1544</v>
      </c>
      <c r="C109" s="38" t="n">
        <f aca="false">B109/B108-1</f>
        <v>0.00208333333333344</v>
      </c>
      <c r="D109" s="19" t="n">
        <f aca="false">ABS(C109)</f>
        <v>0.00208333333333344</v>
      </c>
      <c r="E109" s="19" t="n">
        <f aca="false">AVERAGE(D49:D108)</f>
        <v>0.00255122919364137</v>
      </c>
      <c r="F109" s="16" t="n">
        <f aca="false">D109/E109</f>
        <v>0.816599832945585</v>
      </c>
      <c r="G109" s="15" t="n">
        <f aca="false">IF(F109&gt;Summary!$B$27,1,0)</f>
        <v>0</v>
      </c>
    </row>
    <row r="110" customFormat="false" ht="15" hidden="false" customHeight="false" outlineLevel="0" collapsed="false">
      <c r="A110" s="21" t="n">
        <v>45986</v>
      </c>
      <c r="B110" s="37" t="n">
        <v>1.1551</v>
      </c>
      <c r="C110" s="38" t="n">
        <f aca="false">B110/B109-1</f>
        <v>0.000606375606375442</v>
      </c>
      <c r="D110" s="19" t="n">
        <f aca="false">ABS(C110)</f>
        <v>0.000606375606375442</v>
      </c>
      <c r="E110" s="19" t="n">
        <f aca="false">AVERAGE(D50:D109)</f>
        <v>0.00250446230967042</v>
      </c>
      <c r="F110" s="16" t="n">
        <f aca="false">D110/E110</f>
        <v>0.242118080209896</v>
      </c>
      <c r="G110" s="15" t="n">
        <f aca="false">IF(F110&gt;Summary!$B$27,1,0)</f>
        <v>0</v>
      </c>
    </row>
    <row r="111" customFormat="false" ht="15" hidden="false" customHeight="false" outlineLevel="0" collapsed="false">
      <c r="A111" s="21" t="n">
        <v>45987</v>
      </c>
      <c r="B111" s="37" t="n">
        <v>1.1577</v>
      </c>
      <c r="C111" s="38" t="n">
        <f aca="false">B111/B110-1</f>
        <v>0.00225088736905899</v>
      </c>
      <c r="D111" s="19" t="n">
        <f aca="false">ABS(C111)</f>
        <v>0.00225088736905899</v>
      </c>
      <c r="E111" s="19" t="n">
        <f aca="false">AVERAGE(D51:D110)</f>
        <v>0.0024164038237246</v>
      </c>
      <c r="F111" s="16" t="n">
        <f aca="false">D111/E111</f>
        <v>0.931502982638682</v>
      </c>
      <c r="G111" s="15" t="n">
        <f aca="false">IF(F111&gt;Summary!$B$27,1,0)</f>
        <v>0</v>
      </c>
    </row>
    <row r="112" customFormat="false" ht="15" hidden="false" customHeight="false" outlineLevel="0" collapsed="false">
      <c r="A112" s="21" t="n">
        <v>45988</v>
      </c>
      <c r="B112" s="37" t="n">
        <v>1.1586</v>
      </c>
      <c r="C112" s="38" t="n">
        <f aca="false">B112/B111-1</f>
        <v>0.000777403472402183</v>
      </c>
      <c r="D112" s="19" t="n">
        <f aca="false">ABS(C112)</f>
        <v>0.000777403472402183</v>
      </c>
      <c r="E112" s="19" t="n">
        <f aca="false">AVERAGE(D52:D111)</f>
        <v>0.00244390086748793</v>
      </c>
      <c r="F112" s="16" t="n">
        <f aca="false">D112/E112</f>
        <v>0.318099429786312</v>
      </c>
      <c r="G112" s="15" t="n">
        <f aca="false">IF(F112&gt;Summary!$B$27,1,0)</f>
        <v>0</v>
      </c>
    </row>
    <row r="113" customFormat="false" ht="15" hidden="false" customHeight="false" outlineLevel="0" collapsed="false">
      <c r="A113" s="21" t="n">
        <v>45989</v>
      </c>
      <c r="B113" s="37" t="n">
        <v>1.1566</v>
      </c>
      <c r="C113" s="38" t="n">
        <f aca="false">B113/B112-1</f>
        <v>-0.00172622130157085</v>
      </c>
      <c r="D113" s="19" t="n">
        <f aca="false">ABS(C113)</f>
        <v>0.00172622130157085</v>
      </c>
      <c r="E113" s="19" t="n">
        <f aca="false">AVERAGE(D53:D112)</f>
        <v>0.00244827611086432</v>
      </c>
      <c r="F113" s="16" t="n">
        <f aca="false">D113/E113</f>
        <v>0.705076234625123</v>
      </c>
      <c r="G113" s="15" t="n">
        <f aca="false">IF(F113&gt;Summary!$B$27,1,0)</f>
        <v>0</v>
      </c>
    </row>
    <row r="114" customFormat="false" ht="15" hidden="false" customHeight="false" outlineLevel="0" collapsed="false">
      <c r="A114" s="21" t="n">
        <v>45992</v>
      </c>
      <c r="B114" s="37" t="n">
        <v>1.1646</v>
      </c>
      <c r="C114" s="38" t="n">
        <f aca="false">B114/B113-1</f>
        <v>0.00691682517724357</v>
      </c>
      <c r="D114" s="19" t="n">
        <f aca="false">ABS(C114)</f>
        <v>0.00691682517724357</v>
      </c>
      <c r="E114" s="19" t="n">
        <f aca="false">AVERAGE(D54:D113)</f>
        <v>0.00240549728298217</v>
      </c>
      <c r="F114" s="16" t="n">
        <f aca="false">D114/E114</f>
        <v>2.87542423189461</v>
      </c>
      <c r="G114" s="15" t="n">
        <f aca="false">IF(F114&gt;Summary!$B$27,1,0)</f>
        <v>1</v>
      </c>
    </row>
    <row r="115" customFormat="false" ht="15" hidden="false" customHeight="false" outlineLevel="0" collapsed="false">
      <c r="A115" s="21" t="n">
        <v>45993</v>
      </c>
      <c r="B115" s="37" t="n">
        <v>1.1614</v>
      </c>
      <c r="C115" s="38" t="n">
        <f aca="false">B115/B114-1</f>
        <v>-0.00274772454061489</v>
      </c>
      <c r="D115" s="19" t="n">
        <f aca="false">ABS(C115)</f>
        <v>0.00274772454061489</v>
      </c>
      <c r="E115" s="19" t="n">
        <f aca="false">AVERAGE(D55:D114)</f>
        <v>0.00247660683257924</v>
      </c>
      <c r="F115" s="16" t="n">
        <f aca="false">D115/E115</f>
        <v>1.10947143667261</v>
      </c>
      <c r="G115" s="15" t="n">
        <f aca="false">IF(F115&gt;Summary!$B$27,1,0)</f>
        <v>0</v>
      </c>
    </row>
    <row r="116" customFormat="false" ht="15" hidden="false" customHeight="false" outlineLevel="0" collapsed="false">
      <c r="A116" s="21" t="n">
        <v>45994</v>
      </c>
      <c r="B116" s="37" t="n">
        <v>1.1668</v>
      </c>
      <c r="C116" s="38" t="n">
        <f aca="false">B116/B115-1</f>
        <v>0.00464956087480628</v>
      </c>
      <c r="D116" s="19" t="n">
        <f aca="false">ABS(C116)</f>
        <v>0.00464956087480628</v>
      </c>
      <c r="E116" s="19" t="n">
        <f aca="false">AVERAGE(D56:D115)</f>
        <v>0.00249966463358585</v>
      </c>
      <c r="F116" s="16" t="n">
        <f aca="false">D116/E116</f>
        <v>1.86007387244438</v>
      </c>
      <c r="G116" s="15" t="n">
        <f aca="false">IF(F116&gt;Summary!$B$27,1,0)</f>
        <v>1</v>
      </c>
    </row>
    <row r="117" customFormat="false" ht="15" hidden="false" customHeight="false" outlineLevel="0" collapsed="false">
      <c r="A117" s="21" t="n">
        <v>45995</v>
      </c>
      <c r="B117" s="37" t="n">
        <v>1.1666</v>
      </c>
      <c r="C117" s="38" t="n">
        <f aca="false">B117/B116-1</f>
        <v>-0.000171408981830656</v>
      </c>
      <c r="D117" s="19" t="n">
        <f aca="false">ABS(C117)</f>
        <v>0.000171408981830656</v>
      </c>
      <c r="E117" s="19" t="n">
        <f aca="false">AVERAGE(D57:D116)</f>
        <v>0.00252464823218048</v>
      </c>
      <c r="F117" s="16" t="n">
        <f aca="false">D117/E117</f>
        <v>0.0678942038917692</v>
      </c>
      <c r="G117" s="15" t="n">
        <f aca="false">IF(F117&gt;Summary!$B$27,1,0)</f>
        <v>0</v>
      </c>
    </row>
    <row r="118" customFormat="false" ht="15" hidden="false" customHeight="false" outlineLevel="0" collapsed="false">
      <c r="A118" s="21" t="n">
        <v>45996</v>
      </c>
      <c r="B118" s="37" t="n">
        <v>1.1645</v>
      </c>
      <c r="C118" s="38" t="n">
        <f aca="false">B118/B117-1</f>
        <v>-0.00180010286302068</v>
      </c>
      <c r="D118" s="19" t="n">
        <f aca="false">ABS(C118)</f>
        <v>0.00180010286302068</v>
      </c>
      <c r="E118" s="19" t="n">
        <f aca="false">AVERAGE(D58:D117)</f>
        <v>0.00249618475584196</v>
      </c>
      <c r="F118" s="16" t="n">
        <f aca="false">D118/E118</f>
        <v>0.721141677837669</v>
      </c>
      <c r="G118" s="15" t="n">
        <f aca="false">IF(F118&gt;Summary!$B$27,1,0)</f>
        <v>0</v>
      </c>
    </row>
    <row r="119" customFormat="false" ht="15" hidden="false" customHeight="false" outlineLevel="0" collapsed="false">
      <c r="A119" s="21" t="n">
        <v>45999</v>
      </c>
      <c r="B119" s="37" t="n">
        <v>1.1655</v>
      </c>
      <c r="C119" s="38" t="n">
        <f aca="false">B119/B118-1</f>
        <v>0.000858737655646147</v>
      </c>
      <c r="D119" s="19" t="n">
        <f aca="false">ABS(C119)</f>
        <v>0.000858737655646147</v>
      </c>
      <c r="E119" s="19" t="n">
        <f aca="false">AVERAGE(D59:D118)</f>
        <v>0.00247911757848409</v>
      </c>
      <c r="F119" s="16" t="n">
        <f aca="false">D119/E119</f>
        <v>0.346388433973043</v>
      </c>
      <c r="G119" s="15" t="n">
        <f aca="false">IF(F119&gt;Summary!$B$27,1,0)</f>
        <v>0</v>
      </c>
    </row>
    <row r="120" customFormat="false" ht="15" hidden="false" customHeight="false" outlineLevel="0" collapsed="false">
      <c r="A120" s="21" t="n">
        <v>46000</v>
      </c>
      <c r="B120" s="37" t="n">
        <v>1.1637</v>
      </c>
      <c r="C120" s="38" t="n">
        <f aca="false">B120/B119-1</f>
        <v>-0.00154440154440161</v>
      </c>
      <c r="D120" s="19" t="n">
        <f aca="false">ABS(C120)</f>
        <v>0.00154440154440161</v>
      </c>
      <c r="E120" s="19" t="n">
        <f aca="false">AVERAGE(D60:D119)</f>
        <v>0.00242515883673189</v>
      </c>
      <c r="F120" s="16" t="n">
        <f aca="false">D120/E120</f>
        <v>0.636824904418559</v>
      </c>
      <c r="G120" s="15" t="n">
        <f aca="false">IF(F120&gt;Summary!$B$27,1,0)</f>
        <v>0</v>
      </c>
    </row>
    <row r="121" customFormat="false" ht="15" hidden="false" customHeight="false" outlineLevel="0" collapsed="false">
      <c r="A121" s="21" t="n">
        <v>46001</v>
      </c>
      <c r="B121" s="37" t="n">
        <v>1.1634</v>
      </c>
      <c r="C121" s="38" t="n">
        <f aca="false">B121/B120-1</f>
        <v>-0.000257798401649856</v>
      </c>
      <c r="D121" s="19" t="n">
        <f aca="false">ABS(C121)</f>
        <v>0.000257798401649856</v>
      </c>
      <c r="E121" s="19" t="n">
        <f aca="false">AVERAGE(D61:D120)</f>
        <v>0.00239282191760252</v>
      </c>
      <c r="F121" s="16" t="n">
        <f aca="false">D121/E121</f>
        <v>0.107738231480325</v>
      </c>
      <c r="G121" s="15" t="n">
        <f aca="false">IF(F121&gt;Summary!$B$27,1,0)</f>
        <v>0</v>
      </c>
    </row>
    <row r="122" customFormat="false" ht="15" hidden="false" customHeight="false" outlineLevel="0" collapsed="false">
      <c r="A122" s="21" t="n">
        <v>46002</v>
      </c>
      <c r="B122" s="37" t="n">
        <v>1.1714</v>
      </c>
      <c r="C122" s="38" t="n">
        <f aca="false">B122/B121-1</f>
        <v>0.0068763967680936</v>
      </c>
      <c r="D122" s="19" t="n">
        <f aca="false">ABS(C122)</f>
        <v>0.0068763967680936</v>
      </c>
      <c r="E122" s="19" t="n">
        <f aca="false">AVERAGE(D62:D121)</f>
        <v>0.00235477079782651</v>
      </c>
      <c r="F122" s="16" t="n">
        <f aca="false">D122/E122</f>
        <v>2.92019791244252</v>
      </c>
      <c r="G122" s="15" t="n">
        <f aca="false">IF(F122&gt;Summary!$B$27,1,0)</f>
        <v>1</v>
      </c>
    </row>
    <row r="123" customFormat="false" ht="15" hidden="false" customHeight="false" outlineLevel="0" collapsed="false">
      <c r="A123" s="21" t="n">
        <v>46003</v>
      </c>
      <c r="B123" s="37" t="n">
        <v>1.1731</v>
      </c>
      <c r="C123" s="38" t="n">
        <f aca="false">B123/B122-1</f>
        <v>0.00145125490865627</v>
      </c>
      <c r="D123" s="19" t="n">
        <f aca="false">ABS(C123)</f>
        <v>0.00145125490865627</v>
      </c>
      <c r="E123" s="19" t="n">
        <f aca="false">AVERAGE(D63:D122)</f>
        <v>0.00244262513668479</v>
      </c>
      <c r="F123" s="16" t="n">
        <f aca="false">D123/E123</f>
        <v>0.594137383940119</v>
      </c>
      <c r="G123" s="15" t="n">
        <f aca="false">IF(F123&gt;Summary!$B$27,1,0)</f>
        <v>0</v>
      </c>
    </row>
    <row r="124" customFormat="false" ht="15" hidden="false" customHeight="false" outlineLevel="0" collapsed="false">
      <c r="A124" s="21" t="n">
        <v>46006</v>
      </c>
      <c r="B124" s="37" t="n">
        <v>1.1753</v>
      </c>
      <c r="C124" s="38" t="n">
        <f aca="false">B124/B123-1</f>
        <v>0.00187537294348306</v>
      </c>
      <c r="D124" s="19" t="n">
        <f aca="false">ABS(C124)</f>
        <v>0.00187537294348306</v>
      </c>
      <c r="E124" s="19" t="n">
        <f aca="false">AVERAGE(D64:D123)</f>
        <v>0.00235116991373462</v>
      </c>
      <c r="F124" s="16" t="n">
        <f aca="false">D124/E124</f>
        <v>0.797633949179025</v>
      </c>
      <c r="G124" s="15" t="n">
        <f aca="false">IF(F124&gt;Summary!$B$27,1,0)</f>
        <v>0</v>
      </c>
    </row>
    <row r="125" customFormat="false" ht="15" hidden="false" customHeight="false" outlineLevel="0" collapsed="false">
      <c r="A125" s="21" t="n">
        <v>46007</v>
      </c>
      <c r="B125" s="37" t="n">
        <v>1.1776</v>
      </c>
      <c r="C125" s="38" t="n">
        <f aca="false">B125/B124-1</f>
        <v>0.00195694716242656</v>
      </c>
      <c r="D125" s="19" t="n">
        <f aca="false">ABS(C125)</f>
        <v>0.00195694716242656</v>
      </c>
      <c r="E125" s="19" t="n">
        <f aca="false">AVERAGE(D65:D124)</f>
        <v>0.002318520198989</v>
      </c>
      <c r="F125" s="16" t="n">
        <f aca="false">D125/E125</f>
        <v>0.844050081288874</v>
      </c>
      <c r="G125" s="15" t="n">
        <f aca="false">IF(F125&gt;Summary!$B$27,1,0)</f>
        <v>0</v>
      </c>
    </row>
    <row r="126" customFormat="false" ht="15" hidden="false" customHeight="false" outlineLevel="0" collapsed="false">
      <c r="A126" s="21" t="n">
        <v>46008</v>
      </c>
      <c r="B126" s="37" t="n">
        <v>1.1722</v>
      </c>
      <c r="C126" s="38" t="n">
        <f aca="false">B126/B125-1</f>
        <v>-0.00458559782608703</v>
      </c>
      <c r="D126" s="19" t="n">
        <f aca="false">ABS(C126)</f>
        <v>0.00458559782608703</v>
      </c>
      <c r="E126" s="19" t="n">
        <f aca="false">AVERAGE(D66:D125)</f>
        <v>0.00233415949746471</v>
      </c>
      <c r="F126" s="16" t="n">
        <f aca="false">D126/E126</f>
        <v>1.96456061853003</v>
      </c>
      <c r="G126" s="15" t="n">
        <f aca="false">IF(F126&gt;Summary!$B$27,1,0)</f>
        <v>1</v>
      </c>
    </row>
    <row r="127" customFormat="false" ht="15" hidden="false" customHeight="false" outlineLevel="0" collapsed="false">
      <c r="A127" s="21" t="n">
        <v>46009</v>
      </c>
      <c r="B127" s="37" t="n">
        <v>1.1719</v>
      </c>
      <c r="C127" s="38" t="n">
        <f aca="false">B127/B126-1</f>
        <v>-0.000255929022351054</v>
      </c>
      <c r="D127" s="19" t="n">
        <f aca="false">ABS(C127)</f>
        <v>0.000255929022351054</v>
      </c>
      <c r="E127" s="19" t="n">
        <f aca="false">AVERAGE(D67:D126)</f>
        <v>0.00235829522086425</v>
      </c>
      <c r="F127" s="16" t="n">
        <f aca="false">D127/E127</f>
        <v>0.108522894032437</v>
      </c>
      <c r="G127" s="15" t="n">
        <f aca="false">IF(F127&gt;Summary!$B$27,1,0)</f>
        <v>0</v>
      </c>
    </row>
    <row r="128" customFormat="false" ht="15" hidden="false" customHeight="false" outlineLevel="0" collapsed="false">
      <c r="A128" s="21" t="n">
        <v>46010</v>
      </c>
      <c r="B128" s="37" t="n">
        <v>1.1712</v>
      </c>
      <c r="C128" s="38" t="n">
        <f aca="false">B128/B127-1</f>
        <v>-0.000597320590493999</v>
      </c>
      <c r="D128" s="19" t="n">
        <f aca="false">ABS(C128)</f>
        <v>0.000597320590493999</v>
      </c>
      <c r="E128" s="19" t="n">
        <f aca="false">AVERAGE(D68:D127)</f>
        <v>0.0023384595363723</v>
      </c>
      <c r="F128" s="16" t="n">
        <f aca="false">D128/E128</f>
        <v>0.255433365941681</v>
      </c>
      <c r="G128" s="15" t="n">
        <f aca="false">IF(F128&gt;Summary!$B$27,1,0)</f>
        <v>0</v>
      </c>
    </row>
    <row r="129" customFormat="false" ht="15" hidden="false" customHeight="false" outlineLevel="0" collapsed="false">
      <c r="A129" s="21" t="n">
        <v>46013</v>
      </c>
      <c r="B129" s="37" t="n">
        <v>1.1745</v>
      </c>
      <c r="C129" s="38" t="n">
        <f aca="false">B129/B128-1</f>
        <v>0.00281762295081967</v>
      </c>
      <c r="D129" s="19" t="n">
        <f aca="false">ABS(C129)</f>
        <v>0.00281762295081967</v>
      </c>
      <c r="E129" s="19" t="n">
        <f aca="false">AVERAGE(D69:D128)</f>
        <v>0.00225329036581804</v>
      </c>
      <c r="F129" s="16" t="n">
        <f aca="false">D129/E129</f>
        <v>1.25044823053542</v>
      </c>
      <c r="G129" s="15" t="n">
        <f aca="false">IF(F129&gt;Summary!$B$27,1,0)</f>
        <v>0</v>
      </c>
    </row>
    <row r="130" customFormat="false" ht="15" hidden="false" customHeight="false" outlineLevel="0" collapsed="false">
      <c r="A130" s="21" t="n">
        <v>46014</v>
      </c>
      <c r="B130" s="37" t="n">
        <v>1.1786</v>
      </c>
      <c r="C130" s="38" t="n">
        <f aca="false">B130/B129-1</f>
        <v>0.00349084716900805</v>
      </c>
      <c r="D130" s="19" t="n">
        <f aca="false">ABS(C130)</f>
        <v>0.00349084716900805</v>
      </c>
      <c r="E130" s="19" t="n">
        <f aca="false">AVERAGE(D70:D129)</f>
        <v>0.00222742689637831</v>
      </c>
      <c r="F130" s="16" t="n">
        <f aca="false">D130/E130</f>
        <v>1.56721065669271</v>
      </c>
      <c r="G130" s="15" t="n">
        <f aca="false">IF(F130&gt;Summary!$B$27,1,0)</f>
        <v>1</v>
      </c>
    </row>
    <row r="131" customFormat="false" ht="15" hidden="false" customHeight="false" outlineLevel="0" collapsed="false">
      <c r="A131" s="21" t="n">
        <v>46015</v>
      </c>
      <c r="B131" s="37" t="n">
        <v>1.1787</v>
      </c>
      <c r="C131" s="38" t="n">
        <f aca="false">B131/B130-1</f>
        <v>8.48464279654682E-005</v>
      </c>
      <c r="D131" s="19" t="n">
        <f aca="false">ABS(C131)</f>
        <v>8.48464279654682E-005</v>
      </c>
      <c r="E131" s="19" t="n">
        <f aca="false">AVERAGE(D71:D130)</f>
        <v>0.00226001696342923</v>
      </c>
      <c r="F131" s="16" t="n">
        <f aca="false">D131/E131</f>
        <v>0.0375423854503847</v>
      </c>
      <c r="G131" s="15" t="n">
        <f aca="false">IF(F131&gt;Summary!$B$27,1,0)</f>
        <v>0</v>
      </c>
    </row>
    <row r="132" customFormat="false" ht="15" hidden="false" customHeight="false" outlineLevel="0" collapsed="false">
      <c r="A132" s="21" t="n">
        <v>46020</v>
      </c>
      <c r="B132" s="37" t="n">
        <v>1.1766</v>
      </c>
      <c r="C132" s="38" t="n">
        <f aca="false">B132/B131-1</f>
        <v>-0.00178162382285563</v>
      </c>
      <c r="D132" s="19" t="n">
        <f aca="false">ABS(C132)</f>
        <v>0.00178162382285563</v>
      </c>
      <c r="E132" s="19" t="n">
        <f aca="false">AVERAGE(D72:D131)</f>
        <v>0.00223729911133081</v>
      </c>
      <c r="F132" s="16" t="n">
        <f aca="false">D132/E132</f>
        <v>0.796327953572496</v>
      </c>
      <c r="G132" s="15" t="n">
        <f aca="false">IF(F132&gt;Summary!$B$27,1,0)</f>
        <v>0</v>
      </c>
    </row>
    <row r="133" customFormat="false" ht="15" hidden="false" customHeight="false" outlineLevel="0" collapsed="false">
      <c r="A133" s="21" t="n">
        <v>46021</v>
      </c>
      <c r="B133" s="37" t="n">
        <v>1.1757</v>
      </c>
      <c r="C133" s="38" t="n">
        <f aca="false">B133/B132-1</f>
        <v>-0.000764915859255533</v>
      </c>
      <c r="D133" s="19" t="n">
        <f aca="false">ABS(C133)</f>
        <v>0.000764915859255533</v>
      </c>
      <c r="E133" s="19" t="n">
        <f aca="false">AVERAGE(D73:D132)</f>
        <v>0.0022243452811522</v>
      </c>
      <c r="F133" s="16" t="n">
        <f aca="false">D133/E133</f>
        <v>0.343883598350032</v>
      </c>
      <c r="G133" s="15" t="n">
        <f aca="false">IF(F133&gt;Summary!$B$27,1,0)</f>
        <v>0</v>
      </c>
    </row>
    <row r="134" customFormat="false" ht="15" hidden="false" customHeight="false" outlineLevel="0" collapsed="false">
      <c r="A134" s="21" t="n">
        <v>46022</v>
      </c>
      <c r="B134" s="37" t="n">
        <v>1.175</v>
      </c>
      <c r="C134" s="38" t="n">
        <f aca="false">B134/B133-1</f>
        <v>-0.000595389980437067</v>
      </c>
      <c r="D134" s="19" t="n">
        <f aca="false">ABS(C134)</f>
        <v>0.000595389980437067</v>
      </c>
      <c r="E134" s="19" t="n">
        <f aca="false">AVERAGE(D74:D133)</f>
        <v>0.00220873473865559</v>
      </c>
      <c r="F134" s="16" t="n">
        <f aca="false">D134/E134</f>
        <v>0.269561559392808</v>
      </c>
      <c r="G134" s="15" t="n">
        <f aca="false">IF(F134&gt;Summary!$B$27,1,0)</f>
        <v>0</v>
      </c>
    </row>
    <row r="135" customFormat="false" ht="15" hidden="false" customHeight="false" outlineLevel="0" collapsed="false">
      <c r="A135" s="21" t="n">
        <v>46024</v>
      </c>
      <c r="B135" s="37" t="n">
        <v>1.1721</v>
      </c>
      <c r="C135" s="38" t="n">
        <f aca="false">B135/B134-1</f>
        <v>-0.00246808510638308</v>
      </c>
      <c r="D135" s="19" t="n">
        <f aca="false">ABS(C135)</f>
        <v>0.00246808510638308</v>
      </c>
      <c r="E135" s="19" t="n">
        <f aca="false">AVERAGE(D75:D134)</f>
        <v>0.00213911696982207</v>
      </c>
      <c r="F135" s="16" t="n">
        <f aca="false">D135/E135</f>
        <v>1.15378688552425</v>
      </c>
      <c r="G135" s="15" t="n">
        <f aca="false">IF(F135&gt;Summary!$B$27,1,0)</f>
        <v>0</v>
      </c>
    </row>
    <row r="136" customFormat="false" ht="15" hidden="false" customHeight="false" outlineLevel="0" collapsed="false">
      <c r="A136" s="21" t="n">
        <v>46027</v>
      </c>
      <c r="B136" s="37" t="n">
        <v>1.1664</v>
      </c>
      <c r="C136" s="38" t="n">
        <f aca="false">B136/B135-1</f>
        <v>-0.00486306629127187</v>
      </c>
      <c r="D136" s="19" t="n">
        <f aca="false">ABS(C136)</f>
        <v>0.00486306629127187</v>
      </c>
      <c r="E136" s="19" t="n">
        <f aca="false">AVERAGE(D76:D135)</f>
        <v>0.00216312550135193</v>
      </c>
      <c r="F136" s="16" t="n">
        <f aca="false">D136/E136</f>
        <v>2.24816650177371</v>
      </c>
      <c r="G136" s="15" t="n">
        <f aca="false">IF(F136&gt;Summary!$B$27,1,0)</f>
        <v>1</v>
      </c>
    </row>
    <row r="137" customFormat="false" ht="15" hidden="false" customHeight="false" outlineLevel="0" collapsed="false">
      <c r="A137" s="21" t="n">
        <v>46028</v>
      </c>
      <c r="B137" s="37" t="n">
        <v>1.1707</v>
      </c>
      <c r="C137" s="38" t="n">
        <f aca="false">B137/B136-1</f>
        <v>0.00368655692729769</v>
      </c>
      <c r="D137" s="19" t="n">
        <f aca="false">ABS(C137)</f>
        <v>0.00368655692729769</v>
      </c>
      <c r="E137" s="19" t="n">
        <f aca="false">AVERAGE(D77:D136)</f>
        <v>0.00218845913663677</v>
      </c>
      <c r="F137" s="16" t="n">
        <f aca="false">D137/E137</f>
        <v>1.68454455720987</v>
      </c>
      <c r="G137" s="15" t="n">
        <f aca="false">IF(F137&gt;Summary!$B$27,1,0)</f>
        <v>1</v>
      </c>
    </row>
    <row r="138" customFormat="false" ht="15" hidden="false" customHeight="false" outlineLevel="0" collapsed="false">
      <c r="A138" s="21" t="n">
        <v>46029</v>
      </c>
      <c r="B138" s="37" t="n">
        <v>1.1684</v>
      </c>
      <c r="C138" s="38" t="n">
        <f aca="false">B138/B137-1</f>
        <v>-0.00196463654223966</v>
      </c>
      <c r="D138" s="19" t="n">
        <f aca="false">ABS(C138)</f>
        <v>0.00196463654223966</v>
      </c>
      <c r="E138" s="19" t="n">
        <f aca="false">AVERAGE(D78:D137)</f>
        <v>0.00222696662981886</v>
      </c>
      <c r="F138" s="16" t="n">
        <f aca="false">D138/E138</f>
        <v>0.882202955326485</v>
      </c>
      <c r="G138" s="15" t="n">
        <f aca="false">IF(F138&gt;Summary!$B$27,1,0)</f>
        <v>0</v>
      </c>
    </row>
    <row r="139" customFormat="false" ht="15" hidden="false" customHeight="false" outlineLevel="0" collapsed="false">
      <c r="A139" s="21" t="n">
        <v>46030</v>
      </c>
      <c r="B139" s="37" t="n">
        <v>1.1675</v>
      </c>
      <c r="C139" s="38" t="n">
        <f aca="false">B139/B138-1</f>
        <v>-0.000770284149264056</v>
      </c>
      <c r="D139" s="19" t="n">
        <f aca="false">ABS(C139)</f>
        <v>0.000770284149264056</v>
      </c>
      <c r="E139" s="19" t="n">
        <f aca="false">AVERAGE(D79:D138)</f>
        <v>0.00219798749349977</v>
      </c>
      <c r="F139" s="16" t="n">
        <f aca="false">D139/E139</f>
        <v>0.350449741657793</v>
      </c>
      <c r="G139" s="15" t="n">
        <f aca="false">IF(F139&gt;Summary!$B$27,1,0)</f>
        <v>0</v>
      </c>
    </row>
    <row r="140" customFormat="false" ht="15" hidden="false" customHeight="false" outlineLevel="0" collapsed="false">
      <c r="A140" s="21" t="n">
        <v>46031</v>
      </c>
      <c r="B140" s="37" t="n">
        <v>1.1642</v>
      </c>
      <c r="C140" s="38" t="n">
        <f aca="false">B140/B139-1</f>
        <v>-0.00282655246252683</v>
      </c>
      <c r="D140" s="19" t="n">
        <f aca="false">ABS(C140)</f>
        <v>0.00282655246252683</v>
      </c>
      <c r="E140" s="19" t="n">
        <f aca="false">AVERAGE(D80:D139)</f>
        <v>0.00220938480654537</v>
      </c>
      <c r="F140" s="16" t="n">
        <f aca="false">D140/E140</f>
        <v>1.27933914189737</v>
      </c>
      <c r="G140" s="15" t="n">
        <f aca="false">IF(F140&gt;Summary!$B$27,1,0)</f>
        <v>0</v>
      </c>
    </row>
    <row r="141" customFormat="false" ht="15" hidden="false" customHeight="false" outlineLevel="0" collapsed="false">
      <c r="A141" s="21" t="n">
        <v>46034</v>
      </c>
      <c r="B141" s="37" t="n">
        <v>1.1692</v>
      </c>
      <c r="C141" s="38" t="n">
        <f aca="false">B141/B140-1</f>
        <v>0.004294794708813</v>
      </c>
      <c r="D141" s="19" t="n">
        <f aca="false">ABS(C141)</f>
        <v>0.004294794708813</v>
      </c>
      <c r="E141" s="19" t="n">
        <f aca="false">AVERAGE(D81:D140)</f>
        <v>0.00223344390908804</v>
      </c>
      <c r="F141" s="16" t="n">
        <f aca="false">D141/E141</f>
        <v>1.9229471988695</v>
      </c>
      <c r="G141" s="15" t="n">
        <f aca="false">IF(F141&gt;Summary!$B$27,1,0)</f>
        <v>1</v>
      </c>
    </row>
    <row r="142" customFormat="false" ht="15" hidden="false" customHeight="false" outlineLevel="0" collapsed="false">
      <c r="A142" s="21" t="n">
        <v>46035</v>
      </c>
      <c r="B142" s="37" t="n">
        <v>1.1654</v>
      </c>
      <c r="C142" s="38" t="n">
        <f aca="false">B142/B141-1</f>
        <v>-0.00325008552856654</v>
      </c>
      <c r="D142" s="19" t="n">
        <f aca="false">ABS(C142)</f>
        <v>0.00325008552856654</v>
      </c>
      <c r="E142" s="19" t="n">
        <f aca="false">AVERAGE(D82:D141)</f>
        <v>0.00220548257620325</v>
      </c>
      <c r="F142" s="16" t="n">
        <f aca="false">D142/E142</f>
        <v>1.47363917703743</v>
      </c>
      <c r="G142" s="15" t="n">
        <f aca="false">IF(F142&gt;Summary!$B$27,1,0)</f>
        <v>0</v>
      </c>
    </row>
    <row r="143" customFormat="false" ht="15" hidden="false" customHeight="false" outlineLevel="0" collapsed="false">
      <c r="A143" s="21" t="n">
        <v>46036</v>
      </c>
      <c r="B143" s="37" t="n">
        <v>1.1651</v>
      </c>
      <c r="C143" s="38" t="n">
        <f aca="false">B143/B142-1</f>
        <v>-0.000257422344259406</v>
      </c>
      <c r="D143" s="19" t="n">
        <f aca="false">ABS(C143)</f>
        <v>0.000257422344259406</v>
      </c>
      <c r="E143" s="19" t="n">
        <f aca="false">AVERAGE(D83:D142)</f>
        <v>0.00222093099875387</v>
      </c>
      <c r="F143" s="16" t="n">
        <f aca="false">D143/E143</f>
        <v>0.115907402978229</v>
      </c>
      <c r="G143" s="15" t="n">
        <f aca="false">IF(F143&gt;Summary!$B$27,1,0)</f>
        <v>0</v>
      </c>
    </row>
    <row r="144" customFormat="false" ht="15" hidden="false" customHeight="false" outlineLevel="0" collapsed="false">
      <c r="A144" s="21" t="n">
        <v>46037</v>
      </c>
      <c r="B144" s="37" t="n">
        <v>1.1624</v>
      </c>
      <c r="C144" s="38" t="n">
        <f aca="false">B144/B143-1</f>
        <v>-0.00231739764827044</v>
      </c>
      <c r="D144" s="19" t="n">
        <f aca="false">ABS(C144)</f>
        <v>0.00231739764827044</v>
      </c>
      <c r="E144" s="19" t="n">
        <f aca="false">AVERAGE(D84:D143)</f>
        <v>0.00217943775596948</v>
      </c>
      <c r="F144" s="16" t="n">
        <f aca="false">D144/E144</f>
        <v>1.06330068015161</v>
      </c>
      <c r="G144" s="15" t="n">
        <f aca="false">IF(F144&gt;Summary!$B$27,1,0)</f>
        <v>0</v>
      </c>
    </row>
    <row r="145" customFormat="false" ht="15" hidden="false" customHeight="false" outlineLevel="0" collapsed="false">
      <c r="A145" s="21" t="n">
        <v>46038</v>
      </c>
      <c r="B145" s="37" t="n">
        <v>1.1617</v>
      </c>
      <c r="C145" s="38" t="n">
        <f aca="false">B145/B144-1</f>
        <v>-0.000602202339986313</v>
      </c>
      <c r="D145" s="19" t="n">
        <f aca="false">ABS(C145)</f>
        <v>0.000602202339986313</v>
      </c>
      <c r="E145" s="19" t="n">
        <f aca="false">AVERAGE(D85:D144)</f>
        <v>0.00218096376962334</v>
      </c>
      <c r="F145" s="16" t="n">
        <f aca="false">D145/E145</f>
        <v>0.276117534997069</v>
      </c>
      <c r="G145" s="15" t="n">
        <f aca="false">IF(F145&gt;Summary!$B$27,1,0)</f>
        <v>0</v>
      </c>
    </row>
    <row r="146" customFormat="false" ht="15" hidden="false" customHeight="false" outlineLevel="0" collapsed="false">
      <c r="A146" s="21" t="n">
        <v>46041</v>
      </c>
      <c r="B146" s="37" t="n">
        <v>1.1631</v>
      </c>
      <c r="C146" s="38" t="n">
        <f aca="false">B146/B145-1</f>
        <v>0.00120513041232684</v>
      </c>
      <c r="D146" s="19" t="n">
        <f aca="false">ABS(C146)</f>
        <v>0.00120513041232684</v>
      </c>
      <c r="E146" s="19" t="n">
        <f aca="false">AVERAGE(D86:D145)</f>
        <v>0.00212236040664972</v>
      </c>
      <c r="F146" s="16" t="n">
        <f aca="false">D146/E146</f>
        <v>0.567825525085636</v>
      </c>
      <c r="G146" s="15" t="n">
        <f aca="false">IF(F146&gt;Summary!$B$27,1,0)</f>
        <v>0</v>
      </c>
    </row>
    <row r="147" customFormat="false" ht="15" hidden="false" customHeight="false" outlineLevel="0" collapsed="false">
      <c r="A147" s="21" t="n">
        <v>46042</v>
      </c>
      <c r="B147" s="37" t="n">
        <v>1.1728</v>
      </c>
      <c r="C147" s="38" t="n">
        <f aca="false">B147/B146-1</f>
        <v>0.00833978161808968</v>
      </c>
      <c r="D147" s="19" t="n">
        <f aca="false">ABS(C147)</f>
        <v>0.00833978161808968</v>
      </c>
      <c r="E147" s="19" t="n">
        <f aca="false">AVERAGE(D87:D146)</f>
        <v>0.00211372761134785</v>
      </c>
      <c r="F147" s="16" t="n">
        <f aca="false">D147/E147</f>
        <v>3.94553279869949</v>
      </c>
      <c r="G147" s="15" t="n">
        <f aca="false">IF(F147&gt;Summary!$B$27,1,0)</f>
        <v>1</v>
      </c>
    </row>
    <row r="148" customFormat="false" ht="15" hidden="false" customHeight="false" outlineLevel="0" collapsed="false">
      <c r="A148" s="21" t="n">
        <v>46043</v>
      </c>
      <c r="B148" s="37" t="n">
        <v>1.1739</v>
      </c>
      <c r="C148" s="38" t="n">
        <f aca="false">B148/B147-1</f>
        <v>0.000937926330149885</v>
      </c>
      <c r="D148" s="19" t="n">
        <f aca="false">ABS(C148)</f>
        <v>0.000937926330149885</v>
      </c>
      <c r="E148" s="19" t="n">
        <f aca="false">AVERAGE(D88:D147)</f>
        <v>0.0022440936100372</v>
      </c>
      <c r="F148" s="16" t="n">
        <f aca="false">D148/E148</f>
        <v>0.417953300145237</v>
      </c>
      <c r="G148" s="15" t="n">
        <f aca="false">IF(F148&gt;Summary!$B$27,1,0)</f>
        <v>0</v>
      </c>
    </row>
    <row r="149" customFormat="false" ht="15" hidden="false" customHeight="false" outlineLevel="0" collapsed="false">
      <c r="A149" s="21" t="n">
        <v>46044</v>
      </c>
      <c r="B149" s="37" t="n">
        <v>1.1706</v>
      </c>
      <c r="C149" s="38" t="n">
        <f aca="false">B149/B148-1</f>
        <v>-0.00281114234602597</v>
      </c>
      <c r="D149" s="19" t="n">
        <f aca="false">ABS(C149)</f>
        <v>0.00281114234602597</v>
      </c>
      <c r="E149" s="19" t="n">
        <f aca="false">AVERAGE(D89:D148)</f>
        <v>0.0022324103815738</v>
      </c>
      <c r="F149" s="16" t="n">
        <f aca="false">D149/E149</f>
        <v>1.25924084981373</v>
      </c>
      <c r="G149" s="15" t="n">
        <f aca="false">IF(F149&gt;Summary!$B$27,1,0)</f>
        <v>0</v>
      </c>
    </row>
    <row r="150" customFormat="false" ht="15" hidden="false" customHeight="false" outlineLevel="0" collapsed="false">
      <c r="A150" s="21" t="n">
        <v>46045</v>
      </c>
      <c r="B150" s="37" t="n">
        <v>1.1742</v>
      </c>
      <c r="C150" s="38" t="n">
        <f aca="false">B150/B149-1</f>
        <v>0.00307534597642212</v>
      </c>
      <c r="D150" s="19" t="n">
        <f aca="false">ABS(C150)</f>
        <v>0.00307534597642212</v>
      </c>
      <c r="E150" s="19" t="n">
        <f aca="false">AVERAGE(D90:D149)</f>
        <v>0.00223907444306486</v>
      </c>
      <c r="F150" s="16" t="n">
        <f aca="false">D150/E150</f>
        <v>1.37348983011595</v>
      </c>
      <c r="G150" s="15" t="n">
        <f aca="false">IF(F150&gt;Summary!$B$27,1,0)</f>
        <v>0</v>
      </c>
    </row>
    <row r="151" customFormat="false" ht="15" hidden="false" customHeight="false" outlineLevel="0" collapsed="false">
      <c r="A151" s="21" t="n">
        <v>46048</v>
      </c>
      <c r="B151" s="37" t="n">
        <v>1.1836</v>
      </c>
      <c r="C151" s="38" t="n">
        <f aca="false">B151/B150-1</f>
        <v>0.00800545051950263</v>
      </c>
      <c r="D151" s="19" t="n">
        <f aca="false">ABS(C151)</f>
        <v>0.00800545051950263</v>
      </c>
      <c r="E151" s="19" t="n">
        <f aca="false">AVERAGE(D91:D150)</f>
        <v>0.00227601176718507</v>
      </c>
      <c r="F151" s="16" t="n">
        <f aca="false">D151/E151</f>
        <v>3.51731508374564</v>
      </c>
      <c r="G151" s="15" t="n">
        <f aca="false">IF(F151&gt;Summary!$B$27,1,0)</f>
        <v>1</v>
      </c>
    </row>
    <row r="152" customFormat="false" ht="15" hidden="false" customHeight="false" outlineLevel="0" collapsed="false">
      <c r="A152" s="21" t="n">
        <v>46049</v>
      </c>
      <c r="B152" s="37" t="n">
        <v>1.1929</v>
      </c>
      <c r="C152" s="38" t="n">
        <f aca="false">B152/B151-1</f>
        <v>0.00785738425143645</v>
      </c>
      <c r="D152" s="19" t="n">
        <f aca="false">ABS(C152)</f>
        <v>0.00785738425143645</v>
      </c>
      <c r="E152" s="19" t="n">
        <f aca="false">AVERAGE(D92:D151)</f>
        <v>0.00240083749023153</v>
      </c>
      <c r="F152" s="16" t="n">
        <f aca="false">D152/E152</f>
        <v>3.27276805839895</v>
      </c>
      <c r="G152" s="15" t="n">
        <f aca="false">IF(F152&gt;Summary!$B$27,1,0)</f>
        <v>1</v>
      </c>
    </row>
    <row r="153" customFormat="false" ht="15" hidden="false" customHeight="false" outlineLevel="0" collapsed="false">
      <c r="A153" s="21" t="n">
        <v>46050</v>
      </c>
      <c r="B153" s="37" t="n">
        <v>1.1974</v>
      </c>
      <c r="C153" s="38" t="n">
        <f aca="false">B153/B152-1</f>
        <v>0.00377231955738111</v>
      </c>
      <c r="D153" s="19" t="n">
        <f aca="false">ABS(C153)</f>
        <v>0.00377231955738111</v>
      </c>
      <c r="E153" s="19" t="n">
        <f aca="false">AVERAGE(D93:D152)</f>
        <v>0.00240861296168465</v>
      </c>
      <c r="F153" s="16" t="n">
        <f aca="false">D153/E153</f>
        <v>1.56617921492154</v>
      </c>
      <c r="G153" s="15" t="n">
        <f aca="false">IF(F153&gt;Summary!$B$27,1,0)</f>
        <v>1</v>
      </c>
    </row>
    <row r="154" customFormat="false" ht="15" hidden="false" customHeight="false" outlineLevel="0" collapsed="false">
      <c r="A154" s="21" t="n">
        <v>46051</v>
      </c>
      <c r="B154" s="37" t="n">
        <v>1.1968</v>
      </c>
      <c r="C154" s="38" t="n">
        <f aca="false">B154/B153-1</f>
        <v>-0.000501085685652214</v>
      </c>
      <c r="D154" s="19" t="n">
        <f aca="false">ABS(C154)</f>
        <v>0.000501085685652214</v>
      </c>
      <c r="E154" s="19" t="n">
        <f aca="false">AVERAGE(D94:D153)</f>
        <v>0.00246571294853567</v>
      </c>
      <c r="F154" s="16" t="n">
        <f aca="false">D154/E154</f>
        <v>0.203221419569459</v>
      </c>
      <c r="G154" s="15" t="n">
        <f aca="false">IF(F154&gt;Summary!$B$27,1,0)</f>
        <v>0</v>
      </c>
    </row>
    <row r="155" customFormat="false" ht="15" hidden="false" customHeight="false" outlineLevel="0" collapsed="false">
      <c r="A155" s="21" t="n">
        <v>46052</v>
      </c>
      <c r="B155" s="37" t="n">
        <v>1.1919</v>
      </c>
      <c r="C155" s="38" t="n">
        <f aca="false">B155/B154-1</f>
        <v>-0.00409425133689845</v>
      </c>
      <c r="D155" s="19" t="n">
        <f aca="false">ABS(C155)</f>
        <v>0.00409425133689845</v>
      </c>
      <c r="E155" s="19" t="n">
        <f aca="false">AVERAGE(D95:D154)</f>
        <v>0.00241636430161977</v>
      </c>
      <c r="F155" s="16" t="n">
        <f aca="false">D155/E155</f>
        <v>1.69438496262916</v>
      </c>
      <c r="G155" s="15" t="n">
        <f aca="false">IF(F155&gt;Summary!$B$27,1,0)</f>
        <v>1</v>
      </c>
    </row>
    <row r="156" customFormat="false" ht="15" hidden="false" customHeight="false" outlineLevel="0" collapsed="false">
      <c r="A156" s="21" t="n">
        <v>46055</v>
      </c>
      <c r="B156" s="37" t="n">
        <v>1.184</v>
      </c>
      <c r="C156" s="38" t="n">
        <f aca="false">B156/B155-1</f>
        <v>-0.00662807282490141</v>
      </c>
      <c r="D156" s="19" t="n">
        <f aca="false">ABS(C156)</f>
        <v>0.00662807282490141</v>
      </c>
      <c r="E156" s="19" t="n">
        <f aca="false">AVERAGE(D96:D155)</f>
        <v>0.00245130902093691</v>
      </c>
      <c r="F156" s="16" t="n">
        <f aca="false">D156/E156</f>
        <v>2.70389117336504</v>
      </c>
      <c r="G156" s="15" t="n">
        <f aca="false">IF(F156&gt;Summary!$B$27,1,0)</f>
        <v>1</v>
      </c>
    </row>
    <row r="157" customFormat="false" ht="15" hidden="false" customHeight="false" outlineLevel="0" collapsed="false">
      <c r="A157" s="21" t="n">
        <v>46056</v>
      </c>
      <c r="B157" s="37" t="n">
        <v>1.1801</v>
      </c>
      <c r="C157" s="38" t="n">
        <f aca="false">B157/B156-1</f>
        <v>-0.00329391891891895</v>
      </c>
      <c r="D157" s="19" t="n">
        <f aca="false">ABS(C157)</f>
        <v>0.00329391891891895</v>
      </c>
      <c r="E157" s="19" t="n">
        <f aca="false">AVERAGE(D97:D156)</f>
        <v>0.00256032649088577</v>
      </c>
      <c r="F157" s="16" t="n">
        <f aca="false">D157/E157</f>
        <v>1.2865230003457</v>
      </c>
      <c r="G157" s="15" t="n">
        <f aca="false">IF(F157&gt;Summary!$B$27,1,0)</f>
        <v>0</v>
      </c>
    </row>
    <row r="158" customFormat="false" ht="15" hidden="false" customHeight="false" outlineLevel="0" collapsed="false">
      <c r="A158" s="21" t="n">
        <v>46057</v>
      </c>
      <c r="B158" s="37" t="n">
        <v>1.182</v>
      </c>
      <c r="C158" s="38" t="n">
        <f aca="false">B158/B157-1</f>
        <v>0.00161003304804686</v>
      </c>
      <c r="D158" s="19" t="n">
        <f aca="false">ABS(C158)</f>
        <v>0.00161003304804686</v>
      </c>
      <c r="E158" s="19" t="n">
        <f aca="false">AVERAGE(D98:D157)</f>
        <v>0.00255576348505014</v>
      </c>
      <c r="F158" s="16" t="n">
        <f aca="false">D158/E158</f>
        <v>0.629961675821997</v>
      </c>
      <c r="G158" s="15" t="n">
        <f aca="false">IF(F158&gt;Summary!$B$27,1,0)</f>
        <v>0</v>
      </c>
    </row>
    <row r="159" customFormat="false" ht="15" hidden="false" customHeight="false" outlineLevel="0" collapsed="false">
      <c r="A159" s="21" t="n">
        <v>46058</v>
      </c>
      <c r="B159" s="37" t="n">
        <v>1.1798</v>
      </c>
      <c r="C159" s="38" t="n">
        <f aca="false">B159/B158-1</f>
        <v>-0.00186125211505916</v>
      </c>
      <c r="D159" s="19" t="n">
        <f aca="false">ABS(C159)</f>
        <v>0.00186125211505916</v>
      </c>
      <c r="E159" s="19" t="n">
        <f aca="false">AVERAGE(D99:D158)</f>
        <v>0.00254213377197046</v>
      </c>
      <c r="F159" s="16" t="n">
        <f aca="false">D159/E159</f>
        <v>0.732161358139885</v>
      </c>
      <c r="G159" s="15" t="n">
        <f aca="false">IF(F159&gt;Summary!$B$27,1,0)</f>
        <v>0</v>
      </c>
    </row>
    <row r="160" customFormat="false" ht="15" hidden="false" customHeight="false" outlineLevel="0" collapsed="false">
      <c r="A160" s="21" t="n">
        <v>46059</v>
      </c>
      <c r="B160" s="37" t="n">
        <v>1.1794</v>
      </c>
      <c r="C160" s="38" t="n">
        <f aca="false">B160/B159-1</f>
        <v>-0.000339040515341504</v>
      </c>
      <c r="D160" s="19" t="n">
        <f aca="false">ABS(C160)</f>
        <v>0.000339040515341504</v>
      </c>
      <c r="E160" s="19" t="n">
        <f aca="false">AVERAGE(D100:D159)</f>
        <v>0.00255873835591966</v>
      </c>
      <c r="F160" s="16" t="n">
        <f aca="false">D160/E160</f>
        <v>0.132503002722858</v>
      </c>
      <c r="G160" s="15" t="n">
        <f aca="false">IF(F160&gt;Summary!$B$27,1,0)</f>
        <v>0</v>
      </c>
    </row>
    <row r="161" customFormat="false" ht="15" hidden="false" customHeight="false" outlineLevel="0" collapsed="false">
      <c r="A161" s="21" t="n">
        <v>46062</v>
      </c>
      <c r="B161" s="37" t="n">
        <v>1.1886</v>
      </c>
      <c r="C161" s="38" t="n">
        <f aca="false">B161/B160-1</f>
        <v>0.00780057656435473</v>
      </c>
      <c r="D161" s="19" t="n">
        <f aca="false">ABS(C161)</f>
        <v>0.00780057656435473</v>
      </c>
      <c r="E161" s="19" t="n">
        <f aca="false">AVERAGE(D101:D160)</f>
        <v>0.00255862750091291</v>
      </c>
      <c r="F161" s="16" t="n">
        <f aca="false">D161/E161</f>
        <v>3.04873474609786</v>
      </c>
      <c r="G161" s="15" t="n">
        <f aca="false">IF(F161&gt;Summary!$B$27,1,0)</f>
        <v>1</v>
      </c>
    </row>
    <row r="162" customFormat="false" ht="15" hidden="false" customHeight="false" outlineLevel="0" collapsed="false">
      <c r="A162" s="21" t="n">
        <v>46063</v>
      </c>
      <c r="B162" s="37" t="n">
        <v>1.1894</v>
      </c>
      <c r="C162" s="38" t="n">
        <f aca="false">B162/B161-1</f>
        <v>0.000673060743731968</v>
      </c>
      <c r="D162" s="19" t="n">
        <f aca="false">ABS(C162)</f>
        <v>0.000673060743731968</v>
      </c>
      <c r="E162" s="19" t="n">
        <f aca="false">AVERAGE(D102:D161)</f>
        <v>0.00268719722550961</v>
      </c>
      <c r="F162" s="16" t="n">
        <f aca="false">D162/E162</f>
        <v>0.250469424924449</v>
      </c>
      <c r="G162" s="15" t="n">
        <f aca="false">IF(F162&gt;Summary!$B$27,1,0)</f>
        <v>0</v>
      </c>
    </row>
    <row r="163" customFormat="false" ht="15" hidden="false" customHeight="false" outlineLevel="0" collapsed="false">
      <c r="A163" s="21" t="n">
        <v>46064</v>
      </c>
      <c r="B163" s="37" t="n">
        <v>1.19</v>
      </c>
      <c r="C163" s="38" t="n">
        <f aca="false">B163/B162-1</f>
        <v>0.000504456028249445</v>
      </c>
      <c r="D163" s="19" t="n">
        <f aca="false">ABS(C163)</f>
        <v>0.000504456028249445</v>
      </c>
      <c r="E163" s="19" t="n">
        <f aca="false">AVERAGE(D103:D162)</f>
        <v>0.00263650520634559</v>
      </c>
      <c r="F163" s="16" t="n">
        <f aca="false">D163/E163</f>
        <v>0.19133511552919</v>
      </c>
      <c r="G163" s="15" t="n">
        <f aca="false">IF(F163&gt;Summary!$B$27,1,0)</f>
        <v>0</v>
      </c>
    </row>
    <row r="164" customFormat="false" ht="15" hidden="false" customHeight="false" outlineLevel="0" collapsed="false">
      <c r="A164" s="21" t="n">
        <v>46065</v>
      </c>
      <c r="B164" s="37" t="n">
        <v>1.1874</v>
      </c>
      <c r="C164" s="38" t="n">
        <f aca="false">B164/B163-1</f>
        <v>-0.00218487394957978</v>
      </c>
      <c r="D164" s="19" t="n">
        <f aca="false">ABS(C164)</f>
        <v>0.00218487394957978</v>
      </c>
      <c r="E164" s="19" t="n">
        <f aca="false">AVERAGE(D104:D163)</f>
        <v>0.0026033142756749</v>
      </c>
      <c r="F164" s="16" t="n">
        <f aca="false">D164/E164</f>
        <v>0.83926630372484</v>
      </c>
      <c r="G164" s="15" t="n">
        <f aca="false">IF(F164&gt;Summary!$B$27,1,0)</f>
        <v>0</v>
      </c>
    </row>
    <row r="165" customFormat="false" ht="15" hidden="false" customHeight="false" outlineLevel="0" collapsed="false">
      <c r="A165" s="21" t="n">
        <v>46066</v>
      </c>
      <c r="B165" s="37" t="n">
        <v>1.1862</v>
      </c>
      <c r="C165" s="38" t="n">
        <f aca="false">B165/B164-1</f>
        <v>-0.0010106114199091</v>
      </c>
      <c r="D165" s="19" t="n">
        <f aca="false">ABS(C165)</f>
        <v>0.0010106114199091</v>
      </c>
      <c r="E165" s="19" t="n">
        <f aca="false">AVERAGE(D105:D164)</f>
        <v>0.00256103149717888</v>
      </c>
      <c r="F165" s="16" t="n">
        <f aca="false">D165/E165</f>
        <v>0.394611085815363</v>
      </c>
      <c r="G165" s="15" t="n">
        <f aca="false">IF(F165&gt;Summary!$B$27,1,0)</f>
        <v>0</v>
      </c>
    </row>
    <row r="166" customFormat="false" ht="15" hidden="false" customHeight="false" outlineLevel="0" collapsed="false">
      <c r="A166" s="21" t="n">
        <v>46069</v>
      </c>
      <c r="B166" s="37" t="n">
        <v>1.1855</v>
      </c>
      <c r="C166" s="38" t="n">
        <f aca="false">B166/B165-1</f>
        <v>-0.000590119709998227</v>
      </c>
      <c r="D166" s="19" t="n">
        <f aca="false">ABS(C166)</f>
        <v>0.000590119709998227</v>
      </c>
      <c r="E166" s="19" t="n">
        <f aca="false">AVERAGE(D106:D165)</f>
        <v>0.00257356207337574</v>
      </c>
      <c r="F166" s="16" t="n">
        <f aca="false">D166/E166</f>
        <v>0.229300748601788</v>
      </c>
      <c r="G166" s="15" t="n">
        <f aca="false">IF(F166&gt;Summary!$B$27,1,0)</f>
        <v>0</v>
      </c>
    </row>
    <row r="167" customFormat="false" ht="15" hidden="false" customHeight="false" outlineLevel="0" collapsed="false">
      <c r="A167" s="21" t="n">
        <v>46070</v>
      </c>
      <c r="B167" s="37" t="n">
        <v>1.1826</v>
      </c>
      <c r="C167" s="38" t="n">
        <f aca="false">B167/B166-1</f>
        <v>-0.00244622522142546</v>
      </c>
      <c r="D167" s="19" t="n">
        <f aca="false">ABS(C167)</f>
        <v>0.00244622522142546</v>
      </c>
      <c r="E167" s="19" t="n">
        <f aca="false">AVERAGE(D107:D166)</f>
        <v>0.0025733312528967</v>
      </c>
      <c r="F167" s="16" t="n">
        <f aca="false">D167/E167</f>
        <v>0.950606424521458</v>
      </c>
      <c r="G167" s="15" t="n">
        <f aca="false">IF(F167&gt;Summary!$B$27,1,0)</f>
        <v>0</v>
      </c>
    </row>
    <row r="168" customFormat="false" ht="15" hidden="false" customHeight="false" outlineLevel="0" collapsed="false">
      <c r="A168" s="21" t="n">
        <v>46071</v>
      </c>
      <c r="B168" s="37" t="n">
        <v>1.1845</v>
      </c>
      <c r="C168" s="38" t="n">
        <f aca="false">B168/B167-1</f>
        <v>0.00160662946051082</v>
      </c>
      <c r="D168" s="19" t="n">
        <f aca="false">ABS(C168)</f>
        <v>0.00160662946051082</v>
      </c>
      <c r="E168" s="19" t="n">
        <f aca="false">AVERAGE(D108:D167)</f>
        <v>0.00251481824063702</v>
      </c>
      <c r="F168" s="16" t="n">
        <f aca="false">D168/E168</f>
        <v>0.638865041834534</v>
      </c>
      <c r="G168" s="15" t="n">
        <f aca="false">IF(F168&gt;Summary!$B$27,1,0)</f>
        <v>0</v>
      </c>
    </row>
    <row r="169" customFormat="false" ht="15" hidden="false" customHeight="false" outlineLevel="0" collapsed="false">
      <c r="A169" s="21" t="n">
        <v>46072</v>
      </c>
      <c r="B169" s="37" t="n">
        <v>1.1753</v>
      </c>
      <c r="C169" s="38" t="n">
        <f aca="false">B169/B168-1</f>
        <v>-0.00776699029126227</v>
      </c>
      <c r="D169" s="19" t="n">
        <f aca="false">ABS(C169)</f>
        <v>0.00776699029126227</v>
      </c>
      <c r="E169" s="19" t="n">
        <f aca="false">AVERAGE(D109:D168)</f>
        <v>0.00253291031927799</v>
      </c>
      <c r="F169" s="16" t="n">
        <f aca="false">D169/E169</f>
        <v>3.06642925023744</v>
      </c>
      <c r="G169" s="15" t="n">
        <f aca="false">IF(F169&gt;Summary!$B$27,1,0)</f>
        <v>1</v>
      </c>
    </row>
    <row r="170" customFormat="false" ht="15" hidden="false" customHeight="false" outlineLevel="0" collapsed="false">
      <c r="A170" s="21" t="n">
        <v>46073</v>
      </c>
      <c r="B170" s="37" t="n">
        <v>1.1767</v>
      </c>
      <c r="C170" s="38" t="n">
        <f aca="false">B170/B169-1</f>
        <v>0.00119118522930317</v>
      </c>
      <c r="D170" s="19" t="n">
        <f aca="false">ABS(C170)</f>
        <v>0.00119118522930317</v>
      </c>
      <c r="E170" s="19" t="n">
        <f aca="false">AVERAGE(D110:D169)</f>
        <v>0.00262763793524347</v>
      </c>
      <c r="F170" s="16" t="n">
        <f aca="false">D170/E170</f>
        <v>0.453329286096184</v>
      </c>
      <c r="G170" s="15" t="n">
        <f aca="false">IF(F170&gt;Summary!$B$27,1,0)</f>
        <v>0</v>
      </c>
    </row>
    <row r="171" customFormat="false" ht="15" hidden="false" customHeight="false" outlineLevel="0" collapsed="false">
      <c r="A171" s="21" t="n">
        <v>46076</v>
      </c>
      <c r="B171" s="37" t="n">
        <v>1.1784</v>
      </c>
      <c r="C171" s="38" t="n">
        <f aca="false">B171/B170-1</f>
        <v>0.00144471827993531</v>
      </c>
      <c r="D171" s="19" t="n">
        <f aca="false">ABS(C171)</f>
        <v>0.00144471827993531</v>
      </c>
      <c r="E171" s="19" t="n">
        <f aca="false">AVERAGE(D111:D170)</f>
        <v>0.00263738476229226</v>
      </c>
      <c r="F171" s="16" t="n">
        <f aca="false">D171/E171</f>
        <v>0.54778441909236</v>
      </c>
      <c r="G171" s="15" t="n">
        <f aca="false">IF(F171&gt;Summary!$B$27,1,0)</f>
        <v>0</v>
      </c>
    </row>
    <row r="172" customFormat="false" ht="15" hidden="false" customHeight="false" outlineLevel="0" collapsed="false">
      <c r="A172" s="21" t="n">
        <v>46077</v>
      </c>
      <c r="B172" s="37" t="n">
        <v>1.1777</v>
      </c>
      <c r="C172" s="38" t="n">
        <f aca="false">B172/B171-1</f>
        <v>-0.000594025797691744</v>
      </c>
      <c r="D172" s="19" t="n">
        <f aca="false">ABS(C172)</f>
        <v>0.000594025797691744</v>
      </c>
      <c r="E172" s="19" t="n">
        <f aca="false">AVERAGE(D112:D171)</f>
        <v>0.00262394861080687</v>
      </c>
      <c r="F172" s="16" t="n">
        <f aca="false">D172/E172</f>
        <v>0.226386216271621</v>
      </c>
      <c r="G172" s="15" t="n">
        <f aca="false">IF(F172&gt;Summary!$B$27,1,0)</f>
        <v>0</v>
      </c>
    </row>
    <row r="173" customFormat="false" ht="15" hidden="false" customHeight="false" outlineLevel="0" collapsed="false">
      <c r="A173" s="21" t="n">
        <v>46078</v>
      </c>
      <c r="B173" s="37" t="n">
        <v>1.1784</v>
      </c>
      <c r="C173" s="38" t="n">
        <f aca="false">B173/B172-1</f>
        <v>0.00059437887407654</v>
      </c>
      <c r="D173" s="19" t="n">
        <f aca="false">ABS(C173)</f>
        <v>0.00059437887407654</v>
      </c>
      <c r="E173" s="19" t="n">
        <f aca="false">AVERAGE(D113:D172)</f>
        <v>0.00262089231622836</v>
      </c>
      <c r="F173" s="16" t="n">
        <f aca="false">D173/E173</f>
        <v>0.226784927559287</v>
      </c>
      <c r="G173" s="15" t="n">
        <f aca="false">IF(F173&gt;Summary!$B$27,1,0)</f>
        <v>0</v>
      </c>
    </row>
    <row r="174" customFormat="false" ht="15" hidden="false" customHeight="false" outlineLevel="0" collapsed="false">
      <c r="A174" s="21" t="n">
        <v>46079</v>
      </c>
      <c r="B174" s="37" t="n">
        <v>1.1814</v>
      </c>
      <c r="C174" s="38" t="n">
        <f aca="false">B174/B173-1</f>
        <v>0.00254582484725052</v>
      </c>
      <c r="D174" s="19" t="n">
        <f aca="false">ABS(C174)</f>
        <v>0.00254582484725052</v>
      </c>
      <c r="E174" s="19" t="n">
        <f aca="false">AVERAGE(D114:D173)</f>
        <v>0.00260202827577012</v>
      </c>
      <c r="F174" s="16" t="n">
        <f aca="false">D174/E174</f>
        <v>0.978400146899647</v>
      </c>
      <c r="G174" s="15" t="n">
        <f aca="false">IF(F174&gt;Summary!$B$27,1,0)</f>
        <v>0</v>
      </c>
    </row>
    <row r="175" customFormat="false" ht="15" hidden="false" customHeight="false" outlineLevel="0" collapsed="false">
      <c r="A175" s="21" t="n">
        <v>46080</v>
      </c>
      <c r="B175" s="37" t="n">
        <v>1.1805</v>
      </c>
      <c r="C175" s="38" t="n">
        <f aca="false">B175/B174-1</f>
        <v>-0.000761808024377753</v>
      </c>
      <c r="D175" s="19" t="n">
        <f aca="false">ABS(C175)</f>
        <v>0.000761808024377753</v>
      </c>
      <c r="E175" s="19" t="n">
        <f aca="false">AVERAGE(D115:D174)</f>
        <v>0.00252917827027024</v>
      </c>
      <c r="F175" s="16" t="n">
        <f aca="false">D175/E175</f>
        <v>0.30120772162745</v>
      </c>
      <c r="G175" s="15" t="n">
        <f aca="false">IF(F175&gt;Summary!$B$27,1,0)</f>
        <v>0</v>
      </c>
    </row>
    <row r="176" customFormat="false" ht="15" hidden="false" customHeight="false" outlineLevel="0" collapsed="false">
      <c r="A176" s="21" t="n">
        <v>46083</v>
      </c>
      <c r="B176" s="37" t="n">
        <v>1.1698</v>
      </c>
      <c r="C176" s="38" t="n">
        <f aca="false">B176/B175-1</f>
        <v>-0.0090639559508684</v>
      </c>
      <c r="D176" s="19" t="n">
        <f aca="false">ABS(C176)</f>
        <v>0.0090639559508684</v>
      </c>
      <c r="E176" s="19" t="n">
        <f aca="false">AVERAGE(D116:D175)</f>
        <v>0.00249607966166629</v>
      </c>
      <c r="F176" s="16" t="n">
        <f aca="false">D176/E176</f>
        <v>3.63127671366773</v>
      </c>
      <c r="G176" s="15" t="n">
        <f aca="false">IF(F176&gt;Summary!$B$27,1,0)</f>
        <v>1</v>
      </c>
    </row>
    <row r="177" customFormat="false" ht="15" hidden="false" customHeight="false" outlineLevel="0" collapsed="false">
      <c r="A177" s="21" t="n">
        <v>46084</v>
      </c>
      <c r="B177" s="37" t="n">
        <v>1.1606</v>
      </c>
      <c r="C177" s="38" t="n">
        <f aca="false">B177/B176-1</f>
        <v>-0.0078645922379893</v>
      </c>
      <c r="D177" s="19" t="n">
        <f aca="false">ABS(C177)</f>
        <v>0.0078645922379893</v>
      </c>
      <c r="E177" s="19" t="n">
        <f aca="false">AVERAGE(D117:D176)</f>
        <v>0.00256965291293399</v>
      </c>
      <c r="F177" s="16" t="n">
        <f aca="false">D177/E177</f>
        <v>3.06056596141992</v>
      </c>
      <c r="G177" s="15" t="n">
        <f aca="false">IF(F177&gt;Summary!$B$27,1,0)</f>
        <v>1</v>
      </c>
    </row>
    <row r="178" customFormat="false" ht="15" hidden="false" customHeight="false" outlineLevel="0" collapsed="false">
      <c r="A178" s="21" t="n">
        <v>46085</v>
      </c>
      <c r="B178" s="37" t="n">
        <v>1.1649</v>
      </c>
      <c r="C178" s="38" t="n">
        <f aca="false">B178/B177-1</f>
        <v>0.00370498018266408</v>
      </c>
      <c r="D178" s="19" t="n">
        <f aca="false">ABS(C178)</f>
        <v>0.00370498018266408</v>
      </c>
      <c r="E178" s="19" t="n">
        <f aca="false">AVERAGE(D118:D177)</f>
        <v>0.00269787263386997</v>
      </c>
      <c r="F178" s="16" t="n">
        <f aca="false">D178/E178</f>
        <v>1.37329692148938</v>
      </c>
      <c r="G178" s="15" t="n">
        <f aca="false">IF(F178&gt;Summary!$B$27,1,0)</f>
        <v>0</v>
      </c>
    </row>
    <row r="179" customFormat="false" ht="15" hidden="false" customHeight="false" outlineLevel="0" collapsed="false">
      <c r="A179" s="21" t="n">
        <v>46086</v>
      </c>
      <c r="B179" s="37" t="n">
        <v>1.1618</v>
      </c>
      <c r="C179" s="38" t="n">
        <f aca="false">B179/B178-1</f>
        <v>-0.00266117263284416</v>
      </c>
      <c r="D179" s="19" t="n">
        <f aca="false">ABS(C179)</f>
        <v>0.00266117263284416</v>
      </c>
      <c r="E179" s="19" t="n">
        <f aca="false">AVERAGE(D119:D178)</f>
        <v>0.00272962058919736</v>
      </c>
      <c r="F179" s="16" t="n">
        <f aca="false">D179/E179</f>
        <v>0.974924003495546</v>
      </c>
      <c r="G179" s="15" t="n">
        <f aca="false">IF(F179&gt;Summary!$B$27,1,0)</f>
        <v>0</v>
      </c>
    </row>
    <row r="180" customFormat="false" ht="15" hidden="false" customHeight="false" outlineLevel="0" collapsed="false">
      <c r="A180" s="21" t="n">
        <v>46087</v>
      </c>
      <c r="B180" s="37" t="n">
        <v>1.1561</v>
      </c>
      <c r="C180" s="38" t="n">
        <f aca="false">B180/B179-1</f>
        <v>-0.00490618006541577</v>
      </c>
      <c r="D180" s="19" t="n">
        <f aca="false">ABS(C180)</f>
        <v>0.00490618006541577</v>
      </c>
      <c r="E180" s="19" t="n">
        <f aca="false">AVERAGE(D120:D179)</f>
        <v>0.00275966117215066</v>
      </c>
      <c r="F180" s="16" t="n">
        <f aca="false">D180/E180</f>
        <v>1.77781972472812</v>
      </c>
      <c r="G180" s="15" t="n">
        <f aca="false">IF(F180&gt;Summary!$B$27,1,0)</f>
        <v>1</v>
      </c>
    </row>
    <row r="181" customFormat="false" ht="15" hidden="false" customHeight="false" outlineLevel="0" collapsed="false">
      <c r="A181" s="21" t="n">
        <v>46090</v>
      </c>
      <c r="B181" s="37" t="n">
        <v>1.1555</v>
      </c>
      <c r="C181" s="38" t="n">
        <f aca="false">B181/B180-1</f>
        <v>-0.000518986246864417</v>
      </c>
      <c r="D181" s="19" t="n">
        <f aca="false">ABS(C181)</f>
        <v>0.000518986246864417</v>
      </c>
      <c r="E181" s="19" t="n">
        <f aca="false">AVERAGE(D121:D180)</f>
        <v>0.00281569081416756</v>
      </c>
      <c r="F181" s="16" t="n">
        <f aca="false">D181/E181</f>
        <v>0.184319330891397</v>
      </c>
      <c r="G181" s="15" t="n">
        <f aca="false">IF(F181&gt;Summary!$B$27,1,0)</f>
        <v>0</v>
      </c>
    </row>
    <row r="182" customFormat="false" ht="15" hidden="false" customHeight="false" outlineLevel="0" collapsed="false">
      <c r="A182" s="21" t="n">
        <v>46091</v>
      </c>
      <c r="B182" s="37" t="n">
        <v>1.1641</v>
      </c>
      <c r="C182" s="38" t="n">
        <f aca="false">B182/B181-1</f>
        <v>0.00744266551276507</v>
      </c>
      <c r="D182" s="19" t="n">
        <f aca="false">ABS(C182)</f>
        <v>0.00744266551276507</v>
      </c>
      <c r="E182" s="19" t="n">
        <f aca="false">AVERAGE(D122:D181)</f>
        <v>0.00282004394492113</v>
      </c>
      <c r="F182" s="16" t="n">
        <f aca="false">D182/E182</f>
        <v>2.6392019621429</v>
      </c>
      <c r="G182" s="15" t="n">
        <f aca="false">IF(F182&gt;Summary!$B$27,1,0)</f>
        <v>1</v>
      </c>
    </row>
    <row r="183" customFormat="false" ht="15" hidden="false" customHeight="false" outlineLevel="0" collapsed="false">
      <c r="A183" s="21" t="n">
        <v>46092</v>
      </c>
      <c r="B183" s="37" t="n">
        <v>1.1581</v>
      </c>
      <c r="C183" s="38" t="n">
        <f aca="false">B183/B182-1</f>
        <v>-0.0051541963748819</v>
      </c>
      <c r="D183" s="19" t="n">
        <f aca="false">ABS(C183)</f>
        <v>0.0051541963748819</v>
      </c>
      <c r="E183" s="19" t="n">
        <f aca="false">AVERAGE(D123:D182)</f>
        <v>0.00282948175733233</v>
      </c>
      <c r="F183" s="16" t="n">
        <f aca="false">D183/E183</f>
        <v>1.82160438445143</v>
      </c>
      <c r="G183" s="15" t="n">
        <f aca="false">IF(F183&gt;Summary!$B$27,1,0)</f>
        <v>1</v>
      </c>
    </row>
    <row r="184" customFormat="false" ht="15" hidden="false" customHeight="false" outlineLevel="0" collapsed="false">
      <c r="A184" s="21" t="n">
        <v>46093</v>
      </c>
      <c r="B184" s="37" t="n">
        <v>1.1547</v>
      </c>
      <c r="C184" s="38" t="n">
        <f aca="false">B184/B183-1</f>
        <v>-0.00293584319143414</v>
      </c>
      <c r="D184" s="19" t="n">
        <f aca="false">ABS(C184)</f>
        <v>0.00293584319143414</v>
      </c>
      <c r="E184" s="19" t="n">
        <f aca="false">AVERAGE(D124:D183)</f>
        <v>0.00289119744843609</v>
      </c>
      <c r="F184" s="16" t="n">
        <f aca="false">D184/E184</f>
        <v>1.01544195572745</v>
      </c>
      <c r="G184" s="15" t="n">
        <f aca="false">IF(F184&gt;Summary!$B$27,1,0)</f>
        <v>0</v>
      </c>
    </row>
    <row r="185" customFormat="false" ht="15" hidden="false" customHeight="false" outlineLevel="0" collapsed="false">
      <c r="A185" s="21" t="n">
        <v>46094</v>
      </c>
      <c r="B185" s="37" t="n">
        <v>1.1476</v>
      </c>
      <c r="C185" s="38" t="n">
        <f aca="false">B185/B184-1</f>
        <v>-0.00614878323374046</v>
      </c>
      <c r="D185" s="19" t="n">
        <f aca="false">ABS(C185)</f>
        <v>0.00614878323374046</v>
      </c>
      <c r="E185" s="19" t="n">
        <f aca="false">AVERAGE(D125:D184)</f>
        <v>0.0029088719525686</v>
      </c>
      <c r="F185" s="16" t="n">
        <f aca="false">D185/E185</f>
        <v>2.11380333476382</v>
      </c>
      <c r="G185" s="15" t="n">
        <f aca="false">IF(F185&gt;Summary!$B$27,1,0)</f>
        <v>1</v>
      </c>
    </row>
    <row r="186" customFormat="false" ht="15" hidden="false" customHeight="false" outlineLevel="0" collapsed="false">
      <c r="A186" s="21" t="n">
        <v>46097</v>
      </c>
      <c r="B186" s="37" t="n">
        <v>1.1478</v>
      </c>
      <c r="C186" s="38" t="n">
        <f aca="false">B186/B185-1</f>
        <v>0.000174276751481406</v>
      </c>
      <c r="D186" s="19" t="n">
        <f aca="false">ABS(C186)</f>
        <v>0.000174276751481406</v>
      </c>
      <c r="E186" s="19" t="n">
        <f aca="false">AVERAGE(D126:D185)</f>
        <v>0.0029787358870905</v>
      </c>
      <c r="F186" s="16" t="n">
        <f aca="false">D186/E186</f>
        <v>0.0585069499570946</v>
      </c>
      <c r="G186" s="15" t="n">
        <f aca="false">IF(F186&gt;Summary!$B$27,1,0)</f>
        <v>0</v>
      </c>
    </row>
    <row r="187" customFormat="false" ht="15" hidden="false" customHeight="false" outlineLevel="0" collapsed="false">
      <c r="A187" s="21" t="n">
        <v>46098</v>
      </c>
      <c r="B187" s="37" t="n">
        <v>1.1531</v>
      </c>
      <c r="C187" s="38" t="n">
        <f aca="false">B187/B186-1</f>
        <v>0.00461752918626956</v>
      </c>
      <c r="D187" s="19" t="n">
        <f aca="false">ABS(C187)</f>
        <v>0.00461752918626956</v>
      </c>
      <c r="E187" s="19" t="n">
        <f aca="false">AVERAGE(D127:D186)</f>
        <v>0.00290521386918041</v>
      </c>
      <c r="F187" s="16" t="n">
        <f aca="false">D187/E187</f>
        <v>1.58939389462994</v>
      </c>
      <c r="G187" s="15" t="n">
        <f aca="false">IF(F187&gt;Summary!$B$27,1,0)</f>
        <v>1</v>
      </c>
    </row>
    <row r="188" customFormat="false" ht="15" hidden="false" customHeight="false" outlineLevel="0" collapsed="false">
      <c r="A188" s="21" t="n">
        <v>46099</v>
      </c>
      <c r="B188" s="37" t="n">
        <v>1.15</v>
      </c>
      <c r="C188" s="38" t="n">
        <f aca="false">B188/B187-1</f>
        <v>-0.00268840516867586</v>
      </c>
      <c r="D188" s="19" t="n">
        <f aca="false">ABS(C188)</f>
        <v>0.00268840516867586</v>
      </c>
      <c r="E188" s="19" t="n">
        <f aca="false">AVERAGE(D128:D187)</f>
        <v>0.00297790720524572</v>
      </c>
      <c r="F188" s="16" t="n">
        <f aca="false">D188/E188</f>
        <v>0.902783392289763</v>
      </c>
      <c r="G188" s="15" t="n">
        <f aca="false">IF(F188&gt;Summary!$B$27,1,0)</f>
        <v>0</v>
      </c>
    </row>
    <row r="189" customFormat="false" ht="15" hidden="false" customHeight="false" outlineLevel="0" collapsed="false">
      <c r="A189" s="21" t="n">
        <v>46100</v>
      </c>
      <c r="B189" s="37" t="n">
        <v>1.1489</v>
      </c>
      <c r="C189" s="38" t="n">
        <f aca="false">B189/B188-1</f>
        <v>-0.000956521739130301</v>
      </c>
      <c r="D189" s="19" t="n">
        <f aca="false">ABS(C189)</f>
        <v>0.000956521739130301</v>
      </c>
      <c r="E189" s="19" t="n">
        <f aca="false">AVERAGE(D129:D188)</f>
        <v>0.00301275861488208</v>
      </c>
      <c r="F189" s="16" t="n">
        <f aca="false">D189/E189</f>
        <v>0.317490334076346</v>
      </c>
      <c r="G189" s="15" t="n">
        <f aca="false">IF(F189&gt;Summary!$B$27,1,0)</f>
        <v>0</v>
      </c>
    </row>
    <row r="190" customFormat="false" ht="15" hidden="false" customHeight="false" outlineLevel="0" collapsed="false">
      <c r="A190" s="21" t="n">
        <v>46101</v>
      </c>
      <c r="B190" s="37" t="n">
        <v>1.1555</v>
      </c>
      <c r="C190" s="38" t="n">
        <f aca="false">B190/B189-1</f>
        <v>0.00574462529375919</v>
      </c>
      <c r="D190" s="19" t="n">
        <f aca="false">ABS(C190)</f>
        <v>0.00574462529375919</v>
      </c>
      <c r="E190" s="19" t="n">
        <f aca="false">AVERAGE(D130:D189)</f>
        <v>0.00298174026135393</v>
      </c>
      <c r="F190" s="16" t="n">
        <f aca="false">D190/E190</f>
        <v>1.92660151127674</v>
      </c>
      <c r="G190" s="15" t="n">
        <f aca="false">IF(F190&gt;Summary!$B$27,1,0)</f>
        <v>1</v>
      </c>
    </row>
    <row r="191" customFormat="false" ht="15" hidden="false" customHeight="false" outlineLevel="0" collapsed="false">
      <c r="A191" s="21" t="n">
        <v>46104</v>
      </c>
      <c r="B191" s="37" t="n">
        <v>1.1596</v>
      </c>
      <c r="C191" s="38" t="n">
        <f aca="false">B191/B190-1</f>
        <v>0.00354824751189953</v>
      </c>
      <c r="D191" s="19" t="n">
        <f aca="false">ABS(C191)</f>
        <v>0.00354824751189953</v>
      </c>
      <c r="E191" s="19" t="n">
        <f aca="false">AVERAGE(D131:D190)</f>
        <v>0.00301930323009978</v>
      </c>
      <c r="F191" s="16" t="n">
        <f aca="false">D191/E191</f>
        <v>1.17518753218512</v>
      </c>
      <c r="G191" s="15" t="n">
        <f aca="false">IF(F191&gt;Summary!$B$27,1,0)</f>
        <v>0</v>
      </c>
    </row>
    <row r="192" customFormat="false" ht="15" hidden="false" customHeight="false" outlineLevel="0" collapsed="false">
      <c r="A192" s="21" t="n">
        <v>46105</v>
      </c>
      <c r="B192" s="37" t="n">
        <v>1.1572</v>
      </c>
      <c r="C192" s="38" t="n">
        <f aca="false">B192/B191-1</f>
        <v>-0.00206967919972401</v>
      </c>
      <c r="D192" s="19" t="n">
        <f aca="false">ABS(C192)</f>
        <v>0.00206967919972401</v>
      </c>
      <c r="E192" s="19" t="n">
        <f aca="false">AVERAGE(D132:D191)</f>
        <v>0.00307702658149868</v>
      </c>
      <c r="F192" s="16" t="n">
        <f aca="false">D192/E192</f>
        <v>0.672623113550082</v>
      </c>
      <c r="G192" s="15" t="n">
        <f aca="false">IF(F192&gt;Summary!$B$27,1,0)</f>
        <v>0</v>
      </c>
    </row>
    <row r="193" customFormat="false" ht="15" hidden="false" customHeight="false" outlineLevel="0" collapsed="false">
      <c r="A193" s="21" t="n">
        <v>46106</v>
      </c>
      <c r="B193" s="37" t="n">
        <v>1.1592</v>
      </c>
      <c r="C193" s="38" t="n">
        <f aca="false">B193/B192-1</f>
        <v>0.00172830971310067</v>
      </c>
      <c r="D193" s="19" t="n">
        <f aca="false">ABS(C193)</f>
        <v>0.00172830971310067</v>
      </c>
      <c r="E193" s="19" t="n">
        <f aca="false">AVERAGE(D133:D192)</f>
        <v>0.00308182750444648</v>
      </c>
      <c r="F193" s="16" t="n">
        <f aca="false">D193/E193</f>
        <v>0.560806765014283</v>
      </c>
      <c r="G193" s="15" t="n">
        <f aca="false">IF(F193&gt;Summary!$B$27,1,0)</f>
        <v>0</v>
      </c>
    </row>
    <row r="194" customFormat="false" ht="15" hidden="false" customHeight="false" outlineLevel="0" collapsed="false">
      <c r="A194" s="21" t="n">
        <v>46107</v>
      </c>
      <c r="B194" s="37" t="n">
        <v>1.1539</v>
      </c>
      <c r="C194" s="38" t="n">
        <f aca="false">B194/B193-1</f>
        <v>-0.00457211870255359</v>
      </c>
      <c r="D194" s="19" t="n">
        <f aca="false">ABS(C194)</f>
        <v>0.00457211870255359</v>
      </c>
      <c r="E194" s="19" t="n">
        <f aca="false">AVERAGE(D134:D193)</f>
        <v>0.00309788406867724</v>
      </c>
      <c r="F194" s="16" t="n">
        <f aca="false">D194/E194</f>
        <v>1.47588437823815</v>
      </c>
      <c r="G194" s="15" t="n">
        <f aca="false">IF(F194&gt;Summary!$B$27,1,0)</f>
        <v>0</v>
      </c>
    </row>
    <row r="195" customFormat="false" ht="15" hidden="false" customHeight="false" outlineLevel="0" collapsed="false">
      <c r="A195" s="21" t="n">
        <v>46108</v>
      </c>
      <c r="B195" s="37" t="n">
        <v>1.1517</v>
      </c>
      <c r="C195" s="38" t="n">
        <f aca="false">B195/B194-1</f>
        <v>-0.00190657769304092</v>
      </c>
      <c r="D195" s="19" t="n">
        <f aca="false">ABS(C195)</f>
        <v>0.00190657769304092</v>
      </c>
      <c r="E195" s="19" t="n">
        <f aca="false">AVERAGE(D135:D194)</f>
        <v>0.00316416288071251</v>
      </c>
      <c r="F195" s="16" t="n">
        <f aca="false">D195/E195</f>
        <v>0.602553586815226</v>
      </c>
      <c r="G195" s="15" t="n">
        <f aca="false">IF(F195&gt;Summary!$B$27,1,0)</f>
        <v>0</v>
      </c>
    </row>
    <row r="196" customFormat="false" ht="15" hidden="false" customHeight="false" outlineLevel="0" collapsed="false">
      <c r="A196" s="21" t="n">
        <v>46111</v>
      </c>
      <c r="B196" s="37" t="n">
        <v>1.1484</v>
      </c>
      <c r="C196" s="38" t="n">
        <f aca="false">B196/B195-1</f>
        <v>-0.00286532951289387</v>
      </c>
      <c r="D196" s="19" t="n">
        <f aca="false">ABS(C196)</f>
        <v>0.00286532951289387</v>
      </c>
      <c r="E196" s="19" t="n">
        <f aca="false">AVERAGE(D136:D195)</f>
        <v>0.00315480442382348</v>
      </c>
      <c r="F196" s="16" t="n">
        <f aca="false">D196/E196</f>
        <v>0.908243151701055</v>
      </c>
      <c r="G196" s="15" t="n">
        <f aca="false">IF(F196&gt;Summary!$B$27,1,0)</f>
        <v>0</v>
      </c>
    </row>
    <row r="197" customFormat="false" ht="15" hidden="false" customHeight="false" outlineLevel="0" collapsed="false">
      <c r="A197" s="21" t="n">
        <v>46112</v>
      </c>
      <c r="B197" s="37" t="n">
        <v>1.1498</v>
      </c>
      <c r="C197" s="38" t="n">
        <f aca="false">B197/B196-1</f>
        <v>0.00121908742598387</v>
      </c>
      <c r="D197" s="19" t="n">
        <f aca="false">ABS(C197)</f>
        <v>0.00121908742598387</v>
      </c>
      <c r="E197" s="19" t="n">
        <f aca="false">AVERAGE(D137:D196)</f>
        <v>0.00312150881085051</v>
      </c>
      <c r="F197" s="16" t="n">
        <f aca="false">D197/E197</f>
        <v>0.390544284785057</v>
      </c>
      <c r="G197" s="15" t="n">
        <f aca="false">IF(F197&gt;Summary!$B$27,1,0)</f>
        <v>0</v>
      </c>
    </row>
    <row r="198" customFormat="false" ht="15" hidden="false" customHeight="false" outlineLevel="0" collapsed="false">
      <c r="A198" s="21" t="n">
        <v>46113</v>
      </c>
      <c r="B198" s="37" t="n">
        <v>1.1605</v>
      </c>
      <c r="C198" s="38" t="n">
        <f aca="false">B198/B197-1</f>
        <v>0.00930596625500102</v>
      </c>
      <c r="D198" s="19" t="n">
        <f aca="false">ABS(C198)</f>
        <v>0.00930596625500102</v>
      </c>
      <c r="E198" s="19" t="n">
        <f aca="false">AVERAGE(D138:D197)</f>
        <v>0.00308038431916195</v>
      </c>
      <c r="F198" s="16" t="n">
        <f aca="false">D198/E198</f>
        <v>3.02104065298346</v>
      </c>
      <c r="G198" s="15" t="n">
        <f aca="false">IF(F198&gt;Summary!$B$27,1,0)</f>
        <v>1</v>
      </c>
    </row>
    <row r="199" customFormat="false" ht="15" hidden="false" customHeight="false" outlineLevel="0" collapsed="false">
      <c r="A199" s="21" t="n">
        <v>46114</v>
      </c>
      <c r="B199" s="37" t="n">
        <v>1.1525</v>
      </c>
      <c r="C199" s="38" t="n">
        <f aca="false">B199/B198-1</f>
        <v>-0.00689358035329601</v>
      </c>
      <c r="D199" s="19" t="n">
        <f aca="false">ABS(C199)</f>
        <v>0.00689358035329601</v>
      </c>
      <c r="E199" s="19" t="n">
        <f aca="false">AVERAGE(D139:D198)</f>
        <v>0.00320273981437464</v>
      </c>
      <c r="F199" s="16" t="n">
        <f aca="false">D199/E199</f>
        <v>2.152400991912</v>
      </c>
      <c r="G199" s="15" t="n">
        <f aca="false">IF(F199&gt;Summary!$B$27,1,0)</f>
        <v>1</v>
      </c>
    </row>
    <row r="200" customFormat="false" ht="15" hidden="false" customHeight="false" outlineLevel="0" collapsed="false">
      <c r="A200" s="21" t="n">
        <v>46119</v>
      </c>
      <c r="B200" s="37" t="n">
        <v>1.1557</v>
      </c>
      <c r="C200" s="38" t="n">
        <f aca="false">B200/B199-1</f>
        <v>0.0027765726681126</v>
      </c>
      <c r="D200" s="19" t="n">
        <f aca="false">ABS(C200)</f>
        <v>0.0027765726681126</v>
      </c>
      <c r="E200" s="19" t="n">
        <f aca="false">AVERAGE(D140:D199)</f>
        <v>0.0033047947511085</v>
      </c>
      <c r="F200" s="16" t="n">
        <f aca="false">D200/E200</f>
        <v>0.840164935259981</v>
      </c>
      <c r="G200" s="15" t="n">
        <f aca="false">IF(F200&gt;Summary!$B$27,1,0)</f>
        <v>0</v>
      </c>
    </row>
    <row r="201" customFormat="false" ht="15" hidden="false" customHeight="false" outlineLevel="0" collapsed="false">
      <c r="A201" s="21" t="n">
        <v>46120</v>
      </c>
      <c r="B201" s="37" t="n">
        <v>1.1706</v>
      </c>
      <c r="C201" s="38" t="n">
        <f aca="false">B201/B200-1</f>
        <v>0.0128926191918319</v>
      </c>
      <c r="D201" s="19" t="n">
        <f aca="false">ABS(C201)</f>
        <v>0.0128926191918319</v>
      </c>
      <c r="E201" s="19" t="n">
        <f aca="false">AVERAGE(D141:D200)</f>
        <v>0.00330396175453493</v>
      </c>
      <c r="F201" s="16" t="n">
        <f aca="false">D201/E201</f>
        <v>3.90216962231353</v>
      </c>
      <c r="G201" s="15" t="n">
        <f aca="false">IF(F201&gt;Summary!$B$27,1,0)</f>
        <v>1</v>
      </c>
    </row>
    <row r="202" customFormat="false" ht="15" hidden="false" customHeight="false" outlineLevel="0" collapsed="false">
      <c r="A202" s="21" t="n">
        <v>46121</v>
      </c>
      <c r="B202" s="37" t="n">
        <v>1.1685</v>
      </c>
      <c r="C202" s="38" t="n">
        <f aca="false">B202/B201-1</f>
        <v>-0.00179395181957964</v>
      </c>
      <c r="D202" s="19" t="n">
        <f aca="false">ABS(C202)</f>
        <v>0.00179395181957964</v>
      </c>
      <c r="E202" s="19" t="n">
        <f aca="false">AVERAGE(D142:D201)</f>
        <v>0.00344725882925191</v>
      </c>
      <c r="F202" s="16" t="n">
        <f aca="false">D202/E202</f>
        <v>0.520399514059391</v>
      </c>
      <c r="G202" s="15" t="n">
        <f aca="false">IF(F202&gt;Summary!$B$27,1,0)</f>
        <v>0</v>
      </c>
    </row>
    <row r="203" customFormat="false" ht="15" hidden="false" customHeight="false" outlineLevel="0" collapsed="false">
      <c r="A203" s="21" t="n">
        <v>46122</v>
      </c>
      <c r="B203" s="37" t="n">
        <v>1.1711</v>
      </c>
      <c r="C203" s="38" t="n">
        <f aca="false">B203/B202-1</f>
        <v>0.00222507488232782</v>
      </c>
      <c r="D203" s="19" t="n">
        <f aca="false">ABS(C203)</f>
        <v>0.00222507488232782</v>
      </c>
      <c r="E203" s="19" t="n">
        <f aca="false">AVERAGE(D143:D202)</f>
        <v>0.00342298993410213</v>
      </c>
      <c r="F203" s="16" t="n">
        <f aca="false">D203/E203</f>
        <v>0.650038394843093</v>
      </c>
      <c r="G203" s="15" t="n">
        <f aca="false">IF(F203&gt;Summary!$B$27,1,0)</f>
        <v>0</v>
      </c>
    </row>
    <row r="204" customFormat="false" ht="15" hidden="false" customHeight="false" outlineLevel="0" collapsed="false">
      <c r="A204" s="21" t="n">
        <v>46125</v>
      </c>
      <c r="B204" s="37" t="n">
        <v>1.1684</v>
      </c>
      <c r="C204" s="38" t="n">
        <f aca="false">B204/B203-1</f>
        <v>-0.00230552472034828</v>
      </c>
      <c r="D204" s="19" t="n">
        <f aca="false">ABS(C204)</f>
        <v>0.00230552472034828</v>
      </c>
      <c r="E204" s="19" t="n">
        <f aca="false">AVERAGE(D144:D203)</f>
        <v>0.00345578414306994</v>
      </c>
      <c r="F204" s="16" t="n">
        <f aca="false">D204/E204</f>
        <v>0.667149516549427</v>
      </c>
      <c r="G204" s="15" t="n">
        <f aca="false">IF(F204&gt;Summary!$B$27,1,0)</f>
        <v>0</v>
      </c>
    </row>
    <row r="205" customFormat="false" ht="15" hidden="false" customHeight="false" outlineLevel="0" collapsed="false">
      <c r="A205" s="21" t="n">
        <v>46126</v>
      </c>
      <c r="B205" s="37" t="n">
        <v>1.1793</v>
      </c>
      <c r="C205" s="38" t="n">
        <f aca="false">B205/B204-1</f>
        <v>0.00932899691886324</v>
      </c>
      <c r="D205" s="19" t="n">
        <f aca="false">ABS(C205)</f>
        <v>0.00932899691886324</v>
      </c>
      <c r="E205" s="19" t="n">
        <f aca="false">AVERAGE(D145:D204)</f>
        <v>0.0034555862609379</v>
      </c>
      <c r="F205" s="16" t="n">
        <f aca="false">D205/E205</f>
        <v>2.69968573041241</v>
      </c>
      <c r="G205" s="15" t="n">
        <f aca="false">IF(F205&gt;Summary!$B$27,1,0)</f>
        <v>1</v>
      </c>
    </row>
    <row r="206" customFormat="false" ht="15" hidden="false" customHeight="false" outlineLevel="0" collapsed="false">
      <c r="A206" s="21" t="n">
        <v>46127</v>
      </c>
      <c r="B206" s="37" t="n">
        <v>1.178</v>
      </c>
      <c r="C206" s="38" t="n">
        <f aca="false">B206/B205-1</f>
        <v>-0.00110234885101335</v>
      </c>
      <c r="D206" s="19" t="n">
        <f aca="false">ABS(C206)</f>
        <v>0.00110234885101335</v>
      </c>
      <c r="E206" s="19" t="n">
        <f aca="false">AVERAGE(D146:D205)</f>
        <v>0.00360103283725252</v>
      </c>
      <c r="F206" s="16" t="n">
        <f aca="false">D206/E206</f>
        <v>0.306120188521915</v>
      </c>
      <c r="G206" s="15" t="n">
        <f aca="false">IF(F206&gt;Summary!$B$27,1,0)</f>
        <v>0</v>
      </c>
    </row>
    <row r="207" customFormat="false" ht="15" hidden="false" customHeight="false" outlineLevel="0" collapsed="false">
      <c r="A207" s="21" t="n">
        <v>46128</v>
      </c>
      <c r="B207" s="37" t="n">
        <v>1.1782</v>
      </c>
      <c r="C207" s="38" t="n">
        <f aca="false">B207/B206-1</f>
        <v>0.000169779286927074</v>
      </c>
      <c r="D207" s="19" t="n">
        <f aca="false">ABS(C207)</f>
        <v>0.000169779286927074</v>
      </c>
      <c r="E207" s="19" t="n">
        <f aca="false">AVERAGE(D147:D206)</f>
        <v>0.00359931981123063</v>
      </c>
      <c r="F207" s="16" t="n">
        <f aca="false">D207/E207</f>
        <v>0.0471698253645946</v>
      </c>
      <c r="G207" s="15" t="n">
        <f aca="false">IF(F207&gt;Summary!$B$27,1,0)</f>
        <v>0</v>
      </c>
    </row>
    <row r="208" customFormat="false" ht="15" hidden="false" customHeight="false" outlineLevel="0" collapsed="false">
      <c r="A208" s="21" t="n">
        <v>46129</v>
      </c>
      <c r="B208" s="37" t="n">
        <v>1.1797</v>
      </c>
      <c r="C208" s="38" t="n">
        <f aca="false">B208/B207-1</f>
        <v>0.00127312850110339</v>
      </c>
      <c r="D208" s="19" t="n">
        <f aca="false">ABS(C208)</f>
        <v>0.00127312850110339</v>
      </c>
      <c r="E208" s="19" t="n">
        <f aca="false">AVERAGE(D148:D207)</f>
        <v>0.00346315310571125</v>
      </c>
      <c r="F208" s="16" t="n">
        <f aca="false">D208/E208</f>
        <v>0.367621200172703</v>
      </c>
      <c r="G208" s="15" t="n">
        <f aca="false">IF(F208&gt;Summary!$B$27,1,0)</f>
        <v>0</v>
      </c>
    </row>
    <row r="209" customFormat="false" ht="15" hidden="false" customHeight="false" outlineLevel="0" collapsed="false">
      <c r="A209" s="21" t="n">
        <v>46132</v>
      </c>
      <c r="B209" s="37" t="n">
        <v>1.176</v>
      </c>
      <c r="C209" s="38" t="n">
        <f aca="false">B209/B208-1</f>
        <v>-0.0031363906077817</v>
      </c>
      <c r="D209" s="19" t="n">
        <f aca="false">ABS(C209)</f>
        <v>0.0031363906077817</v>
      </c>
      <c r="E209" s="19" t="n">
        <f aca="false">AVERAGE(D149:D208)</f>
        <v>0.00346873980856047</v>
      </c>
      <c r="F209" s="16" t="n">
        <f aca="false">D209/E209</f>
        <v>0.90418733628894</v>
      </c>
      <c r="G209" s="15" t="n">
        <f aca="false">IF(F209&gt;Summary!$B$27,1,0)</f>
        <v>0</v>
      </c>
    </row>
    <row r="210" customFormat="false" ht="15" hidden="false" customHeight="false" outlineLevel="0" collapsed="false">
      <c r="A210" s="21" t="n">
        <v>46133</v>
      </c>
      <c r="B210" s="37" t="n">
        <v>1.1767</v>
      </c>
      <c r="C210" s="38" t="n">
        <f aca="false">B210/B209-1</f>
        <v>0.000595238095238315</v>
      </c>
      <c r="D210" s="19" t="n">
        <f aca="false">ABS(C210)</f>
        <v>0.000595238095238315</v>
      </c>
      <c r="E210" s="19" t="n">
        <f aca="false">AVERAGE(D150:D209)</f>
        <v>0.00347416061292307</v>
      </c>
      <c r="F210" s="16" t="n">
        <f aca="false">D210/E210</f>
        <v>0.171332923706569</v>
      </c>
      <c r="G210" s="15" t="n">
        <f aca="false">IF(F210&gt;Summary!$B$27,1,0)</f>
        <v>0</v>
      </c>
    </row>
    <row r="211" customFormat="false" ht="15" hidden="false" customHeight="false" outlineLevel="0" collapsed="false">
      <c r="A211" s="21" t="n">
        <v>46134</v>
      </c>
      <c r="B211" s="37" t="n">
        <v>1.1733</v>
      </c>
      <c r="C211" s="38" t="n">
        <f aca="false">B211/B210-1</f>
        <v>-0.00288943655987084</v>
      </c>
      <c r="D211" s="19" t="n">
        <f aca="false">ABS(C211)</f>
        <v>0.00288943655987084</v>
      </c>
      <c r="E211" s="19" t="n">
        <f aca="false">AVERAGE(D151:D210)</f>
        <v>0.00343282548157001</v>
      </c>
      <c r="F211" s="16" t="n">
        <f aca="false">D211/E211</f>
        <v>0.841707967790239</v>
      </c>
      <c r="G211" s="15" t="n">
        <f aca="false">IF(F211&gt;Summary!$B$27,1,0)</f>
        <v>0</v>
      </c>
    </row>
    <row r="212" customFormat="false" ht="15" hidden="false" customHeight="false" outlineLevel="0" collapsed="false">
      <c r="A212" s="21" t="n">
        <v>46135</v>
      </c>
      <c r="B212" s="37" t="n">
        <v>1.1694</v>
      </c>
      <c r="C212" s="38" t="n">
        <f aca="false">B212/B211-1</f>
        <v>-0.0033239580669906</v>
      </c>
      <c r="D212" s="19" t="n">
        <f aca="false">ABS(C212)</f>
        <v>0.0033239580669906</v>
      </c>
      <c r="E212" s="19" t="n">
        <f aca="false">AVERAGE(D152:D211)</f>
        <v>0.00334755858224281</v>
      </c>
      <c r="F212" s="16" t="n">
        <f aca="false">D212/E212</f>
        <v>0.992949932115481</v>
      </c>
      <c r="G212" s="15" t="n">
        <f aca="false">IF(F212&gt;Summary!$B$27,1,0)</f>
        <v>0</v>
      </c>
    </row>
    <row r="213" customFormat="false" ht="15" hidden="false" customHeight="false" outlineLevel="0" collapsed="false">
      <c r="A213" s="21" t="n">
        <v>46136</v>
      </c>
      <c r="B213" s="37" t="n">
        <v>1.1712</v>
      </c>
      <c r="C213" s="38" t="n">
        <f aca="false">B213/B212-1</f>
        <v>0.00153925089789642</v>
      </c>
      <c r="D213" s="19" t="n">
        <f aca="false">ABS(C213)</f>
        <v>0.00153925089789642</v>
      </c>
      <c r="E213" s="19" t="n">
        <f aca="false">AVERAGE(D153:D212)</f>
        <v>0.00327200147916871</v>
      </c>
      <c r="F213" s="16" t="n">
        <f aca="false">D213/E213</f>
        <v>0.470430990846459</v>
      </c>
      <c r="G213" s="15" t="n">
        <f aca="false">IF(F213&gt;Summary!$B$27,1,0)</f>
        <v>0</v>
      </c>
    </row>
    <row r="214" customFormat="false" ht="15" hidden="false" customHeight="false" outlineLevel="0" collapsed="false">
      <c r="A214" s="21" t="n">
        <v>46139</v>
      </c>
      <c r="B214" s="37" t="n">
        <v>1.1749</v>
      </c>
      <c r="C214" s="38" t="n">
        <f aca="false">B214/B213-1</f>
        <v>0.00315915300546443</v>
      </c>
      <c r="D214" s="19" t="n">
        <f aca="false">ABS(C214)</f>
        <v>0.00315915300546443</v>
      </c>
      <c r="E214" s="19" t="n">
        <f aca="false">AVERAGE(D154:D213)</f>
        <v>0.0032347836681773</v>
      </c>
      <c r="F214" s="16" t="n">
        <f aca="false">D214/E214</f>
        <v>0.976619560851349</v>
      </c>
      <c r="G214" s="15" t="n">
        <f aca="false">IF(F214&gt;Summary!$B$27,1,0)</f>
        <v>0</v>
      </c>
    </row>
    <row r="215" customFormat="false" ht="15" hidden="false" customHeight="false" outlineLevel="0" collapsed="false">
      <c r="A215" s="21" t="n">
        <v>46140</v>
      </c>
      <c r="B215" s="37" t="n">
        <v>1.168</v>
      </c>
      <c r="C215" s="38" t="n">
        <f aca="false">B215/B214-1</f>
        <v>-0.00587284024172285</v>
      </c>
      <c r="D215" s="19" t="n">
        <f aca="false">ABS(C215)</f>
        <v>0.00587284024172285</v>
      </c>
      <c r="E215" s="19" t="n">
        <f aca="false">AVERAGE(D155:D214)</f>
        <v>0.00327908479017417</v>
      </c>
      <c r="F215" s="16" t="n">
        <f aca="false">D215/E215</f>
        <v>1.79099981169164</v>
      </c>
      <c r="G215" s="15" t="n">
        <f aca="false">IF(F215&gt;Summary!$B$27,1,0)</f>
        <v>1</v>
      </c>
    </row>
    <row r="216" customFormat="false" ht="15" hidden="false" customHeight="false" outlineLevel="0" collapsed="false">
      <c r="A216" s="21" t="n">
        <v>46141</v>
      </c>
      <c r="B216" s="37" t="n">
        <v>1.1706</v>
      </c>
      <c r="C216" s="38" t="n">
        <f aca="false">B216/B215-1</f>
        <v>0.0022260273972603</v>
      </c>
      <c r="D216" s="19" t="n">
        <f aca="false">ABS(C216)</f>
        <v>0.0022260273972603</v>
      </c>
      <c r="E216" s="19" t="n">
        <f aca="false">AVERAGE(D156:D215)</f>
        <v>0.00330872793858791</v>
      </c>
      <c r="F216" s="16" t="n">
        <f aca="false">D216/E216</f>
        <v>0.672774382958279</v>
      </c>
      <c r="G216" s="15" t="n">
        <f aca="false">IF(F216&gt;Summary!$B$27,1,0)</f>
        <v>0</v>
      </c>
    </row>
    <row r="217" customFormat="false" ht="15" hidden="false" customHeight="false" outlineLevel="0" collapsed="false">
      <c r="A217" s="21" t="n">
        <v>46142</v>
      </c>
      <c r="B217" s="37" t="n">
        <v>1.1702</v>
      </c>
      <c r="C217" s="38" t="n">
        <f aca="false">B217/B216-1</f>
        <v>-0.000341705108491519</v>
      </c>
      <c r="D217" s="19" t="n">
        <f aca="false">ABS(C217)</f>
        <v>0.000341705108491519</v>
      </c>
      <c r="E217" s="19" t="n">
        <f aca="false">AVERAGE(D157:D216)</f>
        <v>0.00323536051479389</v>
      </c>
      <c r="F217" s="16" t="n">
        <f aca="false">D217/E217</f>
        <v>0.10561577509803</v>
      </c>
      <c r="G217" s="15" t="n">
        <f aca="false">IF(F217&gt;Summary!$B$27,1,0)</f>
        <v>0</v>
      </c>
    </row>
    <row r="218" customFormat="false" ht="15" hidden="false" customHeight="false" outlineLevel="0" collapsed="false">
      <c r="A218" s="21" t="n">
        <v>46146</v>
      </c>
      <c r="B218" s="37" t="n">
        <v>1.17</v>
      </c>
      <c r="C218" s="38" t="n">
        <f aca="false">B218/B217-1</f>
        <v>-0.000170910955392234</v>
      </c>
      <c r="D218" s="19" t="n">
        <f aca="false">ABS(C218)</f>
        <v>0.000170910955392234</v>
      </c>
      <c r="E218" s="19" t="n">
        <f aca="false">AVERAGE(D158:D217)</f>
        <v>0.00318615695128677</v>
      </c>
      <c r="F218" s="16" t="n">
        <f aca="false">D218/E218</f>
        <v>0.0536417251269462</v>
      </c>
      <c r="G218" s="15" t="n">
        <f aca="false">IF(F218&gt;Summary!$B$27,1,0)</f>
        <v>0</v>
      </c>
    </row>
    <row r="219" customFormat="false" ht="15" hidden="false" customHeight="false" outlineLevel="0" collapsed="false">
      <c r="A219" s="21" t="n">
        <v>46147</v>
      </c>
      <c r="B219" s="37" t="n">
        <v>1.1686</v>
      </c>
      <c r="C219" s="38" t="n">
        <f aca="false">B219/B218-1</f>
        <v>-0.00119658119658106</v>
      </c>
      <c r="D219" s="19" t="n">
        <f aca="false">ABS(C219)</f>
        <v>0.00119658119658106</v>
      </c>
      <c r="E219" s="19" t="n">
        <f aca="false">AVERAGE(D159:D218)</f>
        <v>0.00316217158307586</v>
      </c>
      <c r="F219" s="16" t="n">
        <f aca="false">D219/E219</f>
        <v>0.378404892063807</v>
      </c>
      <c r="G219" s="15" t="n">
        <f aca="false">IF(F219&gt;Summary!$B$27,1,0)</f>
        <v>0</v>
      </c>
    </row>
    <row r="220" customFormat="false" ht="15" hidden="false" customHeight="false" outlineLevel="0" collapsed="false">
      <c r="A220" s="21" t="n">
        <v>46148</v>
      </c>
      <c r="B220" s="37" t="n">
        <v>1.1762</v>
      </c>
      <c r="C220" s="38" t="n">
        <f aca="false">B220/B219-1</f>
        <v>0.00650350847167536</v>
      </c>
      <c r="D220" s="19" t="n">
        <f aca="false">ABS(C220)</f>
        <v>0.00650350847167536</v>
      </c>
      <c r="E220" s="19" t="n">
        <f aca="false">AVERAGE(D160:D219)</f>
        <v>0.00315109373443456</v>
      </c>
      <c r="F220" s="16" t="n">
        <f aca="false">D220/E220</f>
        <v>2.06388924601203</v>
      </c>
      <c r="G220" s="15" t="n">
        <f aca="false">IF(F220&gt;Summary!$B$27,1,0)</f>
        <v>1</v>
      </c>
    </row>
    <row r="221" customFormat="false" ht="15" hidden="false" customHeight="false" outlineLevel="0" collapsed="false">
      <c r="A221" s="21" t="n">
        <v>46149</v>
      </c>
      <c r="B221" s="37" t="n">
        <v>1.177</v>
      </c>
      <c r="C221" s="38" t="n">
        <f aca="false">B221/B220-1</f>
        <v>0.000680156435980406</v>
      </c>
      <c r="D221" s="19" t="n">
        <f aca="false">ABS(C221)</f>
        <v>0.000680156435980406</v>
      </c>
      <c r="E221" s="19" t="n">
        <f aca="false">AVERAGE(D161:D220)</f>
        <v>0.00325383486704012</v>
      </c>
      <c r="F221" s="16" t="n">
        <f aca="false">D221/E221</f>
        <v>0.209032253870681</v>
      </c>
      <c r="G221" s="15" t="n">
        <f aca="false">IF(F221&gt;Summary!$B$27,1,0)</f>
        <v>0</v>
      </c>
    </row>
    <row r="222" customFormat="false" ht="15" hidden="false" customHeight="false" outlineLevel="0" collapsed="false">
      <c r="A222" s="21" t="n">
        <v>46150</v>
      </c>
      <c r="B222" s="37" t="n">
        <v>1.1761</v>
      </c>
      <c r="C222" s="38" t="n">
        <f aca="false">B222/B221-1</f>
        <v>-0.00076465590484287</v>
      </c>
      <c r="D222" s="19" t="n">
        <f aca="false">ABS(C222)</f>
        <v>0.00076465590484287</v>
      </c>
      <c r="E222" s="19" t="n">
        <f aca="false">AVERAGE(D162:D221)</f>
        <v>0.00313516119823388</v>
      </c>
      <c r="F222" s="16" t="n">
        <f aca="false">D222/E222</f>
        <v>0.243896838629421</v>
      </c>
      <c r="G222" s="15" t="n">
        <f aca="false">IF(F222&gt;Summary!$B$27,1,0)</f>
        <v>0</v>
      </c>
    </row>
    <row r="223" customFormat="false" ht="15" hidden="false" customHeight="false" outlineLevel="0" collapsed="false">
      <c r="A223" s="21" t="n">
        <v>46153</v>
      </c>
      <c r="B223" s="37" t="n">
        <v>1.1765</v>
      </c>
      <c r="C223" s="38" t="n">
        <f aca="false">B223/B222-1</f>
        <v>0.000340107133747214</v>
      </c>
      <c r="D223" s="19" t="n">
        <f aca="false">ABS(C223)</f>
        <v>0.000340107133747214</v>
      </c>
      <c r="E223" s="19" t="n">
        <f aca="false">AVERAGE(D163:D222)</f>
        <v>0.0031366877842524</v>
      </c>
      <c r="F223" s="16" t="n">
        <f aca="false">D223/E223</f>
        <v>0.10842874941354</v>
      </c>
      <c r="G223" s="15" t="n">
        <f aca="false">IF(F223&gt;Summary!$B$27,1,0)</f>
        <v>0</v>
      </c>
    </row>
    <row r="224" customFormat="false" ht="15" hidden="false" customHeight="false" outlineLevel="0" collapsed="false">
      <c r="A224" s="21" t="n">
        <v>46154</v>
      </c>
      <c r="B224" s="37" t="n">
        <v>1.1738</v>
      </c>
      <c r="C224" s="38" t="n">
        <f aca="false">B224/B223-1</f>
        <v>-0.00229494262643448</v>
      </c>
      <c r="D224" s="19" t="n">
        <f aca="false">ABS(C224)</f>
        <v>0.00229494262643448</v>
      </c>
      <c r="E224" s="19" t="n">
        <f aca="false">AVERAGE(D164:D223)</f>
        <v>0.00313394863601069</v>
      </c>
      <c r="F224" s="16" t="n">
        <f aca="false">D224/E224</f>
        <v>0.732284696712767</v>
      </c>
      <c r="G224" s="15" t="n">
        <f aca="false">IF(F224&gt;Summary!$B$27,1,0)</f>
        <v>0</v>
      </c>
    </row>
    <row r="225" customFormat="false" ht="15" hidden="false" customHeight="false" outlineLevel="0" collapsed="false">
      <c r="A225" s="21" t="n">
        <v>46155</v>
      </c>
      <c r="B225" s="37" t="n">
        <v>1.1715</v>
      </c>
      <c r="C225" s="38" t="n">
        <f aca="false">B225/B224-1</f>
        <v>-0.00195944794683933</v>
      </c>
      <c r="D225" s="19" t="n">
        <f aca="false">ABS(C225)</f>
        <v>0.00195944794683933</v>
      </c>
      <c r="E225" s="19" t="n">
        <f aca="false">AVERAGE(D165:D224)</f>
        <v>0.00313578311395827</v>
      </c>
      <c r="F225" s="16" t="n">
        <f aca="false">D225/E225</f>
        <v>0.624867178510295</v>
      </c>
      <c r="G225" s="15" t="n">
        <f aca="false">IF(F225&gt;Summary!$B$27,1,0)</f>
        <v>0</v>
      </c>
    </row>
    <row r="226" customFormat="false" ht="15" hidden="false" customHeight="false" outlineLevel="0" collapsed="false">
      <c r="A226" s="21" t="n">
        <v>46156</v>
      </c>
      <c r="B226" s="37" t="n">
        <v>1.1702</v>
      </c>
      <c r="C226" s="38" t="n">
        <f aca="false">B226/B225-1</f>
        <v>-0.00110968843363213</v>
      </c>
      <c r="D226" s="19" t="n">
        <f aca="false">ABS(C226)</f>
        <v>0.00110968843363213</v>
      </c>
      <c r="E226" s="19" t="n">
        <f aca="false">AVERAGE(D166:D225)</f>
        <v>0.00315159705607378</v>
      </c>
      <c r="F226" s="16" t="n">
        <f aca="false">D226/E226</f>
        <v>0.352103525256673</v>
      </c>
      <c r="G226" s="15" t="n">
        <f aca="false">IF(F226&gt;Summary!$B$27,1,0)</f>
        <v>0</v>
      </c>
    </row>
    <row r="227" customFormat="false" ht="15" hidden="false" customHeight="false" outlineLevel="0" collapsed="false">
      <c r="A227" s="21" t="n">
        <v>46157</v>
      </c>
      <c r="B227" s="37" t="n">
        <v>1.1628</v>
      </c>
      <c r="C227" s="38" t="n">
        <f aca="false">B227/B226-1</f>
        <v>-0.00632370534951277</v>
      </c>
      <c r="D227" s="19" t="n">
        <f aca="false">ABS(C227)</f>
        <v>0.00632370534951277</v>
      </c>
      <c r="E227" s="19" t="n">
        <f aca="false">AVERAGE(D167:D226)</f>
        <v>0.00316025653480101</v>
      </c>
      <c r="F227" s="16" t="n">
        <f aca="false">D227/E227</f>
        <v>2.0010101331571</v>
      </c>
      <c r="G227" s="15" t="n">
        <f aca="false">IF(F227&gt;Summary!$B$27,1,0)</f>
        <v>1</v>
      </c>
    </row>
    <row r="228" customFormat="false" ht="15" hidden="false" customHeight="false" outlineLevel="0" collapsed="false">
      <c r="A228" s="21" t="n">
        <v>46160</v>
      </c>
      <c r="B228" s="37" t="n">
        <v>1.1648</v>
      </c>
      <c r="C228" s="38" t="n">
        <f aca="false">B228/B227-1</f>
        <v>0.00171998624011005</v>
      </c>
      <c r="D228" s="19" t="n">
        <f aca="false">ABS(C228)</f>
        <v>0.00171998624011005</v>
      </c>
      <c r="E228" s="19" t="n">
        <f aca="false">AVERAGE(D168:D227)</f>
        <v>0.00322488120360246</v>
      </c>
      <c r="F228" s="16" t="n">
        <f aca="false">D228/E228</f>
        <v>0.533348713183196</v>
      </c>
      <c r="G228" s="15" t="n">
        <f aca="false">IF(F228&gt;Summary!$B$27,1,0)</f>
        <v>0</v>
      </c>
    </row>
    <row r="229" customFormat="false" ht="15" hidden="false" customHeight="false" outlineLevel="0" collapsed="false">
      <c r="A229" s="21" t="n">
        <v>46161</v>
      </c>
      <c r="B229" s="37" t="n">
        <v>1.162</v>
      </c>
      <c r="C229" s="38" t="n">
        <f aca="false">B229/B228-1</f>
        <v>-0.00240384615384626</v>
      </c>
      <c r="D229" s="19" t="n">
        <f aca="false">ABS(C229)</f>
        <v>0.00240384615384626</v>
      </c>
      <c r="E229" s="19" t="n">
        <f aca="false">AVERAGE(D169:D228)</f>
        <v>0.00322677048326245</v>
      </c>
      <c r="F229" s="16" t="n">
        <f aca="false">D229/E229</f>
        <v>0.744969673645902</v>
      </c>
      <c r="G229" s="15" t="n">
        <f aca="false">IF(F229&gt;Summary!$B$27,1,0)</f>
        <v>0</v>
      </c>
    </row>
    <row r="230" customFormat="false" ht="15" hidden="false" customHeight="false" outlineLevel="0" collapsed="false">
      <c r="A230" s="21" t="n">
        <v>46162</v>
      </c>
      <c r="B230" s="37" t="n">
        <v>1.16</v>
      </c>
      <c r="C230" s="38" t="n">
        <f aca="false">B230/B229-1</f>
        <v>-0.00172117039586916</v>
      </c>
      <c r="D230" s="19" t="n">
        <f aca="false">ABS(C230)</f>
        <v>0.00172117039586916</v>
      </c>
      <c r="E230" s="19" t="n">
        <f aca="false">AVERAGE(D170:D229)</f>
        <v>0.00313738474763885</v>
      </c>
      <c r="F230" s="16" t="n">
        <f aca="false">D230/E230</f>
        <v>0.548600358041676</v>
      </c>
      <c r="G230" s="15" t="n">
        <f aca="false">IF(F230&gt;Summary!$B$27,1,0)</f>
        <v>0</v>
      </c>
    </row>
    <row r="231" customFormat="false" ht="15" hidden="false" customHeight="false" outlineLevel="0" collapsed="false">
      <c r="A231" s="21" t="n">
        <v>46163</v>
      </c>
      <c r="B231" s="37" t="n">
        <v>1.1599</v>
      </c>
      <c r="C231" s="38" t="n">
        <f aca="false">B231/B230-1</f>
        <v>-8.62068965516993E-005</v>
      </c>
      <c r="D231" s="19" t="n">
        <f aca="false">ABS(C231)</f>
        <v>8.62068965516993E-005</v>
      </c>
      <c r="E231" s="19" t="n">
        <f aca="false">AVERAGE(D171:D230)</f>
        <v>0.00314621783374828</v>
      </c>
      <c r="F231" s="16" t="n">
        <f aca="false">D231/E231</f>
        <v>0.0274001677909872</v>
      </c>
      <c r="G231" s="15" t="n">
        <f aca="false">IF(F231&gt;Summary!$B$27,1,0)</f>
        <v>0</v>
      </c>
    </row>
    <row r="232" customFormat="false" ht="15" hidden="false" customHeight="false" outlineLevel="0" collapsed="false">
      <c r="A232" s="21" t="n">
        <v>46164</v>
      </c>
      <c r="B232" s="37" t="n">
        <v>1.1595</v>
      </c>
      <c r="C232" s="38" t="n">
        <f aca="false">B232/B231-1</f>
        <v>-0.000344857315285774</v>
      </c>
      <c r="D232" s="19" t="n">
        <f aca="false">ABS(C232)</f>
        <v>0.000344857315285774</v>
      </c>
      <c r="E232" s="19" t="n">
        <f aca="false">AVERAGE(D172:D231)</f>
        <v>0.00312357597735856</v>
      </c>
      <c r="F232" s="16" t="n">
        <f aca="false">D232/E232</f>
        <v>0.110404650882672</v>
      </c>
      <c r="G232" s="15" t="n">
        <f aca="false">IF(F232&gt;Summary!$B$27,1,0)</f>
        <v>0</v>
      </c>
    </row>
    <row r="233" customFormat="false" ht="15" hidden="false" customHeight="false" outlineLevel="0" collapsed="false">
      <c r="A233" s="21" t="n">
        <v>46167</v>
      </c>
      <c r="B233" s="37" t="n">
        <v>1.1643</v>
      </c>
      <c r="C233" s="38" t="n">
        <f aca="false">B233/B232-1</f>
        <v>0.00413971539456659</v>
      </c>
      <c r="D233" s="19" t="n">
        <f aca="false">ABS(C233)</f>
        <v>0.00413971539456659</v>
      </c>
      <c r="E233" s="19" t="n">
        <f aca="false">AVERAGE(D173:D232)</f>
        <v>0.00311942316931846</v>
      </c>
      <c r="F233" s="16" t="n">
        <f aca="false">D233/E233</f>
        <v>1.32707720942877</v>
      </c>
      <c r="G233" s="15" t="n">
        <f aca="false">IF(F233&gt;Summary!$B$27,1,0)</f>
        <v>0</v>
      </c>
    </row>
    <row r="234" customFormat="false" ht="15" hidden="false" customHeight="false" outlineLevel="0" collapsed="false">
      <c r="A234" s="21" t="n">
        <v>46168</v>
      </c>
      <c r="B234" s="37" t="n">
        <v>1.1634</v>
      </c>
      <c r="C234" s="38" t="n">
        <f aca="false">B234/B233-1</f>
        <v>-0.000772996650347801</v>
      </c>
      <c r="D234" s="19" t="n">
        <f aca="false">ABS(C234)</f>
        <v>0.000772996650347801</v>
      </c>
      <c r="E234" s="19" t="n">
        <f aca="false">AVERAGE(D174:D233)</f>
        <v>0.00317851211132662</v>
      </c>
      <c r="F234" s="16" t="n">
        <f aca="false">D234/E234</f>
        <v>0.243194495812437</v>
      </c>
      <c r="G234" s="15" t="n">
        <f aca="false">IF(F234&gt;Summary!$B$27,1,0)</f>
        <v>0</v>
      </c>
    </row>
    <row r="235" customFormat="false" ht="15" hidden="false" customHeight="false" outlineLevel="0" collapsed="false">
      <c r="A235" s="21" t="n">
        <v>46169</v>
      </c>
      <c r="B235" s="37" t="n">
        <v>1.1637</v>
      </c>
      <c r="C235" s="38" t="n">
        <f aca="false">B235/B234-1</f>
        <v>0.000257864878803415</v>
      </c>
      <c r="D235" s="19" t="n">
        <f aca="false">ABS(C235)</f>
        <v>0.000257864878803415</v>
      </c>
      <c r="E235" s="19" t="n">
        <f aca="false">AVERAGE(D175:D234)</f>
        <v>0.00314896497471158</v>
      </c>
      <c r="F235" s="16" t="n">
        <f aca="false">D235/E235</f>
        <v>0.0818887732554199</v>
      </c>
      <c r="G235" s="15" t="n">
        <f aca="false">IF(F235&gt;Summary!$B$27,1,0)</f>
        <v>0</v>
      </c>
    </row>
    <row r="236" customFormat="false" ht="15" hidden="false" customHeight="false" outlineLevel="0" collapsed="false">
      <c r="A236" s="21" t="n">
        <v>46170</v>
      </c>
      <c r="B236" s="37" t="n">
        <v>1.1617</v>
      </c>
      <c r="C236" s="38" t="n">
        <f aca="false">B236/B235-1</f>
        <v>-0.00171865601099941</v>
      </c>
      <c r="D236" s="19" t="n">
        <f aca="false">ABS(C236)</f>
        <v>0.00171865601099941</v>
      </c>
      <c r="E236" s="19" t="n">
        <f aca="false">AVERAGE(D176:D235)</f>
        <v>0.00314056592228534</v>
      </c>
      <c r="F236" s="16" t="n">
        <f aca="false">D236/E236</f>
        <v>0.547244048852434</v>
      </c>
      <c r="G236" s="15" t="n">
        <f aca="false">IF(F236&gt;Summary!$B$27,1,0)</f>
        <v>0</v>
      </c>
    </row>
    <row r="237" customFormat="false" ht="15" hidden="false" customHeight="false" outlineLevel="0" collapsed="false">
      <c r="A237" s="21" t="n">
        <v>46171</v>
      </c>
      <c r="B237" s="37" t="n">
        <v>1.1644</v>
      </c>
      <c r="C237" s="38" t="n">
        <f aca="false">B237/B236-1</f>
        <v>0.00232418008091595</v>
      </c>
      <c r="D237" s="19" t="n">
        <f aca="false">ABS(C237)</f>
        <v>0.00232418008091595</v>
      </c>
      <c r="E237" s="19" t="n">
        <f aca="false">AVERAGE(D177:D236)</f>
        <v>0.00301814425662086</v>
      </c>
      <c r="F237" s="16" t="n">
        <f aca="false">D237/E237</f>
        <v>0.770069248949063</v>
      </c>
      <c r="G237" s="15" t="n">
        <f aca="false">IF(F237&gt;Summary!$B$27,1,0)</f>
        <v>0</v>
      </c>
    </row>
    <row r="238" customFormat="false" ht="15" hidden="false" customHeight="false" outlineLevel="0" collapsed="false">
      <c r="A238" s="21" t="n">
        <v>46174</v>
      </c>
      <c r="B238" s="37" t="n">
        <v>1.1646</v>
      </c>
      <c r="C238" s="38" t="n">
        <f aca="false">B238/B237-1</f>
        <v>0.000171762281003129</v>
      </c>
      <c r="D238" s="19" t="n">
        <f aca="false">ABS(C238)</f>
        <v>0.000171762281003129</v>
      </c>
      <c r="E238" s="19" t="n">
        <f aca="false">AVERAGE(D178:D237)</f>
        <v>0.00292580405400297</v>
      </c>
      <c r="F238" s="16" t="n">
        <f aca="false">D238/E238</f>
        <v>0.0587060096413945</v>
      </c>
      <c r="G238" s="15" t="n">
        <f aca="false">IF(F238&gt;Summary!$B$27,1,0)</f>
        <v>0</v>
      </c>
    </row>
    <row r="239" customFormat="false" ht="15" hidden="false" customHeight="false" outlineLevel="0" collapsed="false">
      <c r="A239" s="21" t="n">
        <v>46175</v>
      </c>
      <c r="B239" s="37" t="n">
        <v>1.1649</v>
      </c>
      <c r="C239" s="38" t="n">
        <f aca="false">B239/B238-1</f>
        <v>0.000257599175682577</v>
      </c>
      <c r="D239" s="19" t="n">
        <f aca="false">ABS(C239)</f>
        <v>0.000257599175682577</v>
      </c>
      <c r="E239" s="19" t="n">
        <f aca="false">AVERAGE(D179:D238)</f>
        <v>0.00286691708897528</v>
      </c>
      <c r="F239" s="16" t="n">
        <f aca="false">D239/E239</f>
        <v>0.0898523283680485</v>
      </c>
      <c r="G239" s="15" t="n">
        <f aca="false">IF(F239&gt;Summary!$B$27,1,0)</f>
        <v>0</v>
      </c>
    </row>
    <row r="240" customFormat="false" ht="15" hidden="false" customHeight="false" outlineLevel="0" collapsed="false">
      <c r="A240" s="21" t="n">
        <v>46176</v>
      </c>
      <c r="B240" s="37" t="n">
        <v>1.1614</v>
      </c>
      <c r="C240" s="38" t="n">
        <f aca="false">B240/B239-1</f>
        <v>-0.00300454974675946</v>
      </c>
      <c r="D240" s="19" t="n">
        <f aca="false">ABS(C240)</f>
        <v>0.00300454974675946</v>
      </c>
      <c r="E240" s="19" t="n">
        <f aca="false">AVERAGE(D180:D239)</f>
        <v>0.00282685753135593</v>
      </c>
      <c r="F240" s="16" t="n">
        <f aca="false">D240/E240</f>
        <v>1.06285856766128</v>
      </c>
      <c r="G240" s="15" t="n">
        <f aca="false">IF(F240&gt;Summary!$B$27,1,0)</f>
        <v>0</v>
      </c>
    </row>
    <row r="241" customFormat="false" ht="15" hidden="false" customHeight="false" outlineLevel="0" collapsed="false">
      <c r="A241" s="21" t="n">
        <v>46177</v>
      </c>
      <c r="B241" s="37" t="n">
        <v>1.164</v>
      </c>
      <c r="C241" s="38" t="n">
        <f aca="false">B241/B240-1</f>
        <v>0.00223867745823991</v>
      </c>
      <c r="D241" s="19" t="n">
        <f aca="false">ABS(C241)</f>
        <v>0.00223867745823991</v>
      </c>
      <c r="E241" s="19" t="n">
        <f aca="false">AVERAGE(D181:D240)</f>
        <v>0.00279516369271165</v>
      </c>
      <c r="F241" s="16" t="n">
        <f aca="false">D241/E241</f>
        <v>0.800911039334558</v>
      </c>
      <c r="G241" s="15" t="n">
        <f aca="false">IF(F241&gt;Summary!$B$27,1,0)</f>
        <v>0</v>
      </c>
    </row>
    <row r="242" customFormat="false" ht="15" hidden="false" customHeight="false" outlineLevel="0" collapsed="false">
      <c r="A242" s="21" t="n">
        <v>46178</v>
      </c>
      <c r="B242" s="37" t="n">
        <v>1.164</v>
      </c>
      <c r="C242" s="38" t="n">
        <f aca="false">B242/B241-1</f>
        <v>0</v>
      </c>
      <c r="D242" s="19" t="n">
        <f aca="false">ABS(C242)</f>
        <v>0</v>
      </c>
      <c r="E242" s="19" t="n">
        <f aca="false">AVERAGE(D182:D241)</f>
        <v>0.00282382521290125</v>
      </c>
      <c r="F242" s="16" t="n">
        <f aca="false">D242/E242</f>
        <v>0</v>
      </c>
      <c r="G242" s="15" t="n">
        <f aca="false">IF(F242&gt;Summary!$B$27,1,0)</f>
        <v>0</v>
      </c>
    </row>
    <row r="243" customFormat="false" ht="15" hidden="false" customHeight="false" outlineLevel="0" collapsed="false">
      <c r="A243" s="21" t="n">
        <v>46181</v>
      </c>
      <c r="B243" s="37" t="n">
        <v>1.154</v>
      </c>
      <c r="C243" s="38" t="n">
        <f aca="false">B243/B242-1</f>
        <v>-0.00859106529209619</v>
      </c>
      <c r="D243" s="19" t="n">
        <f aca="false">ABS(C243)</f>
        <v>0.00859106529209619</v>
      </c>
      <c r="E243" s="19" t="n">
        <f aca="false">AVERAGE(D183:D242)</f>
        <v>0.00269978078768849</v>
      </c>
      <c r="F243" s="16" t="n">
        <f aca="false">D243/E243</f>
        <v>3.18213439078945</v>
      </c>
      <c r="G243" s="15" t="n">
        <f aca="false">IF(F243&gt;Summary!$B$27,1,0)</f>
        <v>1</v>
      </c>
    </row>
    <row r="244" customFormat="false" ht="15" hidden="false" customHeight="false" outlineLevel="0" collapsed="false">
      <c r="A244" s="21" t="n">
        <v>46182</v>
      </c>
      <c r="B244" s="37" t="n">
        <v>1.1573</v>
      </c>
      <c r="C244" s="38" t="n">
        <f aca="false">B244/B243-1</f>
        <v>0.00285961871750451</v>
      </c>
      <c r="D244" s="19" t="n">
        <f aca="false">ABS(C244)</f>
        <v>0.00285961871750451</v>
      </c>
      <c r="E244" s="19" t="n">
        <f aca="false">AVERAGE(D184:D243)</f>
        <v>0.00275706193630873</v>
      </c>
      <c r="F244" s="16" t="n">
        <f aca="false">D244/E244</f>
        <v>1.03719785175849</v>
      </c>
      <c r="G244" s="15" t="n">
        <f aca="false">IF(F244&gt;Summary!$B$27,1,0)</f>
        <v>0</v>
      </c>
    </row>
    <row r="245" customFormat="false" ht="15" hidden="false" customHeight="false" outlineLevel="0" collapsed="false">
      <c r="A245" s="21" t="n">
        <v>46183</v>
      </c>
      <c r="B245" s="37" t="n">
        <v>1.1539</v>
      </c>
      <c r="C245" s="38" t="n">
        <f aca="false">B245/B244-1</f>
        <v>-0.00293787263458056</v>
      </c>
      <c r="D245" s="19" t="n">
        <f aca="false">ABS(C245)</f>
        <v>0.00293787263458056</v>
      </c>
      <c r="E245" s="19" t="n">
        <f aca="false">AVERAGE(D185:D244)</f>
        <v>0.00275579152840991</v>
      </c>
      <c r="F245" s="16" t="n">
        <f aca="false">D245/E245</f>
        <v>1.0660721626776</v>
      </c>
      <c r="G245" s="15" t="n">
        <f aca="false">IF(F245&gt;Summary!$B$27,1,0)</f>
        <v>0</v>
      </c>
    </row>
    <row r="246" customFormat="false" ht="15" hidden="false" customHeight="false" outlineLevel="0" collapsed="false">
      <c r="A246" s="21" t="n">
        <v>46184</v>
      </c>
      <c r="B246" s="37" t="n">
        <v>1.1537</v>
      </c>
      <c r="C246" s="38" t="n">
        <f aca="false">B246/B245-1</f>
        <v>-0.000173325244821942</v>
      </c>
      <c r="D246" s="19" t="n">
        <f aca="false">ABS(C246)</f>
        <v>0.000173325244821942</v>
      </c>
      <c r="E246" s="19" t="n">
        <f aca="false">AVERAGE(D186:D245)</f>
        <v>0.00270227635175724</v>
      </c>
      <c r="F246" s="16" t="n">
        <f aca="false">D246/E246</f>
        <v>0.0641404587318511</v>
      </c>
      <c r="G246" s="15" t="n">
        <f aca="false">IF(F246&gt;Summary!$B$27,1,0)</f>
        <v>0</v>
      </c>
    </row>
    <row r="247" customFormat="false" ht="15" hidden="false" customHeight="false" outlineLevel="0" collapsed="false">
      <c r="A247" s="21" t="n">
        <v>46185</v>
      </c>
      <c r="B247" s="37" t="n">
        <v>1.1567</v>
      </c>
      <c r="C247" s="38" t="n">
        <f aca="false">B247/B246-1</f>
        <v>0.00260032937505428</v>
      </c>
      <c r="D247" s="19" t="n">
        <f aca="false">ABS(C247)</f>
        <v>0.00260032937505428</v>
      </c>
      <c r="E247" s="19" t="n">
        <f aca="false">AVERAGE(D187:D246)</f>
        <v>0.00270226049331292</v>
      </c>
      <c r="F247" s="16" t="n">
        <f aca="false">D247/E247</f>
        <v>0.962279314481014</v>
      </c>
      <c r="G247" s="15" t="n">
        <f aca="false">IF(F247&gt;Summary!$B$27,1,0)</f>
        <v>0</v>
      </c>
    </row>
    <row r="248" customFormat="false" ht="15" hidden="false" customHeight="false" outlineLevel="0" collapsed="false">
      <c r="A248" s="21" t="n">
        <v>46188</v>
      </c>
      <c r="B248" s="37" t="n">
        <v>1.1607</v>
      </c>
      <c r="C248" s="38" t="n">
        <f aca="false">B248/B247-1</f>
        <v>0.0034581135990317</v>
      </c>
      <c r="D248" s="19" t="n">
        <f aca="false">ABS(C248)</f>
        <v>0.0034581135990317</v>
      </c>
      <c r="E248" s="19" t="n">
        <f aca="false">AVERAGE(D188:D247)</f>
        <v>0.00266864049645933</v>
      </c>
      <c r="F248" s="16" t="n">
        <f aca="false">D248/E248</f>
        <v>1.29583344164185</v>
      </c>
      <c r="G248" s="15" t="n">
        <f aca="false">IF(F248&gt;Summary!$B$27,1,0)</f>
        <v>0</v>
      </c>
    </row>
    <row r="249" customFormat="false" ht="15" hidden="false" customHeight="false" outlineLevel="0" collapsed="false">
      <c r="A249" s="21" t="n">
        <v>46189</v>
      </c>
      <c r="B249" s="37" t="n">
        <v>1.1594</v>
      </c>
      <c r="C249" s="38" t="n">
        <f aca="false">B249/B248-1</f>
        <v>-0.0011200137847851</v>
      </c>
      <c r="D249" s="19" t="n">
        <f aca="false">ABS(C249)</f>
        <v>0.0011200137847851</v>
      </c>
      <c r="E249" s="19" t="n">
        <f aca="false">AVERAGE(D189:D248)</f>
        <v>0.00268146897029859</v>
      </c>
      <c r="F249" s="16" t="n">
        <f aca="false">D249/E249</f>
        <v>0.417686647576751</v>
      </c>
      <c r="G249" s="15" t="n">
        <f aca="false">IF(F249&gt;Summary!$B$27,1,0)</f>
        <v>0</v>
      </c>
    </row>
    <row r="250" customFormat="false" ht="15" hidden="false" customHeight="false" outlineLevel="0" collapsed="false">
      <c r="A250" s="21" t="n">
        <v>46190</v>
      </c>
      <c r="B250" s="37" t="n">
        <v>1.1591</v>
      </c>
      <c r="C250" s="38" t="n">
        <f aca="false">B250/B249-1</f>
        <v>-0.00025875452820423</v>
      </c>
      <c r="D250" s="19" t="n">
        <f aca="false">ABS(C250)</f>
        <v>0.00025875452820423</v>
      </c>
      <c r="E250" s="19" t="n">
        <f aca="false">AVERAGE(D190:D249)</f>
        <v>0.00268419383772617</v>
      </c>
      <c r="F250" s="16" t="n">
        <f aca="false">D250/E250</f>
        <v>0.0963993451469309</v>
      </c>
      <c r="G250" s="15" t="n">
        <f aca="false">IF(F250&gt;Summary!$B$27,1,0)</f>
        <v>0</v>
      </c>
    </row>
    <row r="251" customFormat="false" ht="15" hidden="false" customHeight="false" outlineLevel="0" collapsed="false">
      <c r="A251" s="21" t="n">
        <v>46191</v>
      </c>
      <c r="B251" s="37" t="n">
        <v>1.1461</v>
      </c>
      <c r="C251" s="38" t="n">
        <f aca="false">B251/B250-1</f>
        <v>-0.011215598309033</v>
      </c>
      <c r="D251" s="19" t="n">
        <f aca="false">ABS(C251)</f>
        <v>0.011215598309033</v>
      </c>
      <c r="E251" s="19" t="n">
        <f aca="false">AVERAGE(D191:D250)</f>
        <v>0.00259276265830026</v>
      </c>
      <c r="F251" s="16" t="n">
        <f aca="false">D251/E251</f>
        <v>4.32573273651881</v>
      </c>
      <c r="G251" s="15" t="n">
        <f aca="false">IF(F251&gt;Summary!$B$27,1,0)</f>
        <v>1</v>
      </c>
    </row>
    <row r="252" customFormat="false" ht="15" hidden="false" customHeight="false" outlineLevel="0" collapsed="false">
      <c r="A252" s="21" t="n">
        <v>46192</v>
      </c>
      <c r="B252" s="37" t="n">
        <v>1.1467</v>
      </c>
      <c r="C252" s="38" t="n">
        <f aca="false">B252/B251-1</f>
        <v>0.000523514527528191</v>
      </c>
      <c r="D252" s="19" t="n">
        <f aca="false">ABS(C252)</f>
        <v>0.000523514527528191</v>
      </c>
      <c r="E252" s="19" t="n">
        <f aca="false">AVERAGE(D192:D251)</f>
        <v>0.00272055183825248</v>
      </c>
      <c r="F252" s="16" t="n">
        <f aca="false">D252/E252</f>
        <v>0.192429535863748</v>
      </c>
      <c r="G252" s="15" t="n">
        <f aca="false">IF(F252&gt;Summary!$B$27,1,0)</f>
        <v>0</v>
      </c>
    </row>
    <row r="253" customFormat="false" ht="15" hidden="false" customHeight="false" outlineLevel="0" collapsed="false">
      <c r="A253" s="21" t="n">
        <v>46195</v>
      </c>
      <c r="B253" s="37" t="n">
        <v>1.1456</v>
      </c>
      <c r="C253" s="38" t="n">
        <f aca="false">B253/B252-1</f>
        <v>-0.000959274439696567</v>
      </c>
      <c r="D253" s="19" t="n">
        <f aca="false">ABS(C253)</f>
        <v>0.000959274439696567</v>
      </c>
      <c r="E253" s="19" t="n">
        <f aca="false">AVERAGE(D193:D252)</f>
        <v>0.00269478242704922</v>
      </c>
      <c r="F253" s="16" t="n">
        <f aca="false">D253/E253</f>
        <v>0.355974727335213</v>
      </c>
      <c r="G253" s="15" t="n">
        <f aca="false">IF(F253&gt;Summary!$B$27,1,0)</f>
        <v>0</v>
      </c>
    </row>
    <row r="254" customFormat="false" ht="15" hidden="false" customHeight="false" outlineLevel="0" collapsed="false">
      <c r="A254" s="21" t="n">
        <v>46196</v>
      </c>
      <c r="B254" s="37" t="n">
        <v>1.1392</v>
      </c>
      <c r="C254" s="38" t="n">
        <f aca="false">B254/B253-1</f>
        <v>-0.00558659217877089</v>
      </c>
      <c r="D254" s="19" t="n">
        <f aca="false">ABS(C254)</f>
        <v>0.00558659217877089</v>
      </c>
      <c r="E254" s="19" t="n">
        <f aca="false">AVERAGE(D194:D253)</f>
        <v>0.00268196517249248</v>
      </c>
      <c r="F254" s="16" t="n">
        <f aca="false">D254/E254</f>
        <v>2.08302189605952</v>
      </c>
      <c r="G254" s="15" t="n">
        <f aca="false">IF(F254&gt;Summary!$B$27,1,0)</f>
        <v>1</v>
      </c>
    </row>
    <row r="255" customFormat="false" ht="15" hidden="false" customHeight="false" outlineLevel="0" collapsed="false">
      <c r="A255" s="21" t="n">
        <v>46197</v>
      </c>
      <c r="B255" s="37" t="n">
        <v>1.134</v>
      </c>
      <c r="C255" s="38" t="n">
        <f aca="false">B255/B254-1</f>
        <v>-0.00456460674157311</v>
      </c>
      <c r="D255" s="19" t="n">
        <f aca="false">ABS(C255)</f>
        <v>0.00456460674157311</v>
      </c>
      <c r="E255" s="19" t="n">
        <f aca="false">AVERAGE(D195:D254)</f>
        <v>0.00269887306376277</v>
      </c>
      <c r="F255" s="16" t="n">
        <f aca="false">D255/E255</f>
        <v>1.69130101110022</v>
      </c>
      <c r="G255" s="15" t="n">
        <f aca="false">IF(F255&gt;Summary!$B$27,1,0)</f>
        <v>1</v>
      </c>
    </row>
    <row r="256" customFormat="false" ht="15" hidden="false" customHeight="false" outlineLevel="0" collapsed="false">
      <c r="A256" s="21" t="n">
        <v>46198</v>
      </c>
      <c r="B256" s="37" t="n">
        <v>1.1342</v>
      </c>
      <c r="C256" s="38" t="n">
        <f aca="false">B256/B255-1</f>
        <v>0.000176366843033682</v>
      </c>
      <c r="D256" s="19" t="n">
        <f aca="false">ABS(C256)</f>
        <v>0.000176366843033682</v>
      </c>
      <c r="E256" s="19" t="n">
        <f aca="false">AVERAGE(D196:D255)</f>
        <v>0.00274317354790497</v>
      </c>
      <c r="F256" s="16" t="n">
        <f aca="false">D256/E256</f>
        <v>0.0642929949395208</v>
      </c>
      <c r="G256" s="15" t="n">
        <f aca="false">IF(F256&gt;Summary!$B$27,1,0)</f>
        <v>0</v>
      </c>
    </row>
    <row r="257" customFormat="false" ht="15" hidden="false" customHeight="false" outlineLevel="0" collapsed="false">
      <c r="A257" s="21" t="n">
        <v>46199</v>
      </c>
      <c r="B257" s="37" t="n">
        <v>1.1401</v>
      </c>
      <c r="C257" s="38" t="n">
        <f aca="false">B257/B256-1</f>
        <v>0.00520190442602697</v>
      </c>
      <c r="D257" s="19" t="n">
        <f aca="false">ABS(C257)</f>
        <v>0.00520190442602697</v>
      </c>
      <c r="E257" s="19" t="n">
        <f aca="false">AVERAGE(D197:D256)</f>
        <v>0.0026983575034073</v>
      </c>
      <c r="F257" s="16" t="n">
        <f aca="false">D257/E257</f>
        <v>1.92780401390785</v>
      </c>
      <c r="G257" s="15" t="n">
        <f aca="false">IF(F257&gt;Summary!$B$27,1,0)</f>
        <v>1</v>
      </c>
    </row>
    <row r="258" customFormat="false" ht="15" hidden="false" customHeight="false" outlineLevel="0" collapsed="false">
      <c r="A258" s="21" t="n">
        <v>46202</v>
      </c>
      <c r="B258" s="37" t="n">
        <v>1.1406</v>
      </c>
      <c r="C258" s="38" t="n">
        <f aca="false">B258/B257-1</f>
        <v>0.000438558021226276</v>
      </c>
      <c r="D258" s="19" t="n">
        <f aca="false">ABS(C258)</f>
        <v>0.000438558021226276</v>
      </c>
      <c r="E258" s="19" t="n">
        <f aca="false">AVERAGE(D198:D257)</f>
        <v>0.00276473778674135</v>
      </c>
      <c r="F258" s="16" t="n">
        <f aca="false">D258/E258</f>
        <v>0.158625538859213</v>
      </c>
      <c r="G258" s="15" t="n">
        <f aca="false">IF(F258&gt;Summary!$B$27,1,0)</f>
        <v>0</v>
      </c>
    </row>
    <row r="259" customFormat="false" ht="15" hidden="false" customHeight="false" outlineLevel="0" collapsed="false">
      <c r="A259" s="21" t="n">
        <v>46203</v>
      </c>
      <c r="B259" s="37" t="n">
        <v>1.1394</v>
      </c>
      <c r="C259" s="38" t="n">
        <f aca="false">B259/B258-1</f>
        <v>-0.00105207785376127</v>
      </c>
      <c r="D259" s="19" t="n">
        <f aca="false">ABS(C259)</f>
        <v>0.00105207785376127</v>
      </c>
      <c r="E259" s="19" t="n">
        <f aca="false">AVERAGE(D199:D258)</f>
        <v>0.00261694764951177</v>
      </c>
      <c r="F259" s="16" t="n">
        <f aca="false">D259/E259</f>
        <v>0.402024799371721</v>
      </c>
      <c r="G259" s="15" t="n">
        <f aca="false">IF(F259&gt;Summary!$B$27,1,0)</f>
        <v>0</v>
      </c>
    </row>
    <row r="260" customFormat="false" ht="15" hidden="false" customHeight="false" outlineLevel="0" collapsed="false">
      <c r="A260" s="21" t="n">
        <v>46204</v>
      </c>
      <c r="B260" s="37" t="n">
        <v>1.1383</v>
      </c>
      <c r="C260" s="38" t="n">
        <f aca="false">B260/B259-1</f>
        <v>-0.00096542039669989</v>
      </c>
      <c r="D260" s="19" t="n">
        <f aca="false">ABS(C260)</f>
        <v>0.00096542039669989</v>
      </c>
      <c r="E260" s="19" t="n">
        <f aca="false">AVERAGE(D200:D259)</f>
        <v>0.00251958927451953</v>
      </c>
      <c r="F260" s="16" t="n">
        <f aca="false">D260/E260</f>
        <v>0.38316578279767</v>
      </c>
      <c r="G260" s="15" t="n">
        <f aca="false">IF(F260&gt;Summary!$B$27,1,0)</f>
        <v>0</v>
      </c>
    </row>
    <row r="261" customFormat="false" ht="15" hidden="false" customHeight="false" outlineLevel="0" collapsed="false">
      <c r="A261" s="21" t="n">
        <v>46205</v>
      </c>
      <c r="B261" s="37" t="n">
        <v>1.1399</v>
      </c>
      <c r="C261" s="38" t="n">
        <f aca="false">B261/B260-1</f>
        <v>0.00140560484933649</v>
      </c>
      <c r="D261" s="19" t="n">
        <f aca="false">ABS(C261)</f>
        <v>0.00140560484933649</v>
      </c>
      <c r="E261" s="19" t="n">
        <f aca="false">AVERAGE(D201:D260)</f>
        <v>0.00248940340332932</v>
      </c>
      <c r="F261" s="16" t="n">
        <f aca="false">D261/E261</f>
        <v>0.564635224430337</v>
      </c>
      <c r="G261" s="15" t="n">
        <f aca="false">IF(F261&gt;Summary!$B$27,1,0)</f>
        <v>0</v>
      </c>
    </row>
    <row r="262" customFormat="false" ht="15" hidden="false" customHeight="false" outlineLevel="0" collapsed="false">
      <c r="A262" s="21" t="n">
        <v>46206</v>
      </c>
      <c r="B262" s="37" t="n">
        <v>1.1448</v>
      </c>
      <c r="C262" s="38" t="n">
        <f aca="false">B262/B261-1</f>
        <v>0.00429862268620074</v>
      </c>
      <c r="D262" s="19" t="n">
        <f aca="false">ABS(C262)</f>
        <v>0.00429862268620074</v>
      </c>
      <c r="E262" s="19" t="n">
        <f aca="false">AVERAGE(D202:D261)</f>
        <v>0.00229795316428773</v>
      </c>
      <c r="F262" s="16" t="n">
        <f aca="false">D262/E262</f>
        <v>1.87063111337743</v>
      </c>
      <c r="G262" s="15" t="n">
        <f aca="false">IF(F262&gt;Summary!$B$27,1,0)</f>
        <v>1</v>
      </c>
    </row>
    <row r="263" customFormat="false" ht="15" hidden="false" customHeight="false" outlineLevel="0" collapsed="false">
      <c r="A263" s="21" t="n">
        <v>46209</v>
      </c>
      <c r="B263" s="37" t="n">
        <v>1.1415</v>
      </c>
      <c r="C263" s="38" t="n">
        <f aca="false">B263/B262-1</f>
        <v>-0.00288259958071291</v>
      </c>
      <c r="D263" s="19" t="n">
        <f aca="false">ABS(C263)</f>
        <v>0.00288259958071291</v>
      </c>
      <c r="E263" s="19" t="n">
        <f aca="false">AVERAGE(D203:D262)</f>
        <v>0.00233969767873141</v>
      </c>
      <c r="F263" s="16" t="n">
        <f aca="false">D263/E263</f>
        <v>1.2320393386362</v>
      </c>
      <c r="G263" s="15" t="n">
        <f aca="false">IF(F263&gt;Summary!$B$27,1,0)</f>
        <v>0</v>
      </c>
    </row>
    <row r="264" customFormat="false" ht="15" hidden="false" customHeight="false" outlineLevel="0" collapsed="false">
      <c r="A264" s="21" t="n">
        <v>46210</v>
      </c>
      <c r="B264" s="37" t="n">
        <v>1.1433</v>
      </c>
      <c r="C264" s="38" t="n">
        <f aca="false">B264/B263-1</f>
        <v>0.0015768725361367</v>
      </c>
      <c r="D264" s="19" t="n">
        <f aca="false">ABS(C264)</f>
        <v>0.0015768725361367</v>
      </c>
      <c r="E264" s="19" t="n">
        <f aca="false">AVERAGE(D204:D263)</f>
        <v>0.0023506564237045</v>
      </c>
      <c r="F264" s="16" t="n">
        <f aca="false">D264/E264</f>
        <v>0.670822209590136</v>
      </c>
      <c r="G264" s="15" t="n">
        <f aca="false">IF(F264&gt;Summary!$B$27,1,0)</f>
        <v>0</v>
      </c>
    </row>
    <row r="265" customFormat="false" ht="15" hidden="false" customHeight="false" outlineLevel="0" collapsed="false">
      <c r="A265" s="21" t="n">
        <v>46211</v>
      </c>
      <c r="B265" s="37" t="n">
        <v>1.1404</v>
      </c>
      <c r="C265" s="38" t="n">
        <f aca="false">B265/B264-1</f>
        <v>-0.00253651709962377</v>
      </c>
      <c r="D265" s="19" t="n">
        <f aca="false">ABS(C265)</f>
        <v>0.00253651709962377</v>
      </c>
      <c r="E265" s="19" t="n">
        <f aca="false">AVERAGE(D205:D264)</f>
        <v>0.0023385122206343</v>
      </c>
      <c r="F265" s="16" t="n">
        <f aca="false">D265/E265</f>
        <v>1.08467130393518</v>
      </c>
      <c r="G265" s="15" t="n">
        <f aca="false">IF(F265&gt;Summary!$B$27,1,0)</f>
        <v>0</v>
      </c>
    </row>
    <row r="266" customFormat="false" ht="15" hidden="false" customHeight="false" outlineLevel="0" collapsed="false">
      <c r="A266" s="21" t="n">
        <v>46212</v>
      </c>
      <c r="B266" s="37" t="n">
        <v>1.1435</v>
      </c>
      <c r="C266" s="38" t="n">
        <f aca="false">B266/B265-1</f>
        <v>0.00271834444054697</v>
      </c>
      <c r="D266" s="19" t="n">
        <f aca="false">ABS(C266)</f>
        <v>0.00271834444054697</v>
      </c>
      <c r="E266" s="19" t="n">
        <f aca="false">AVERAGE(D206:D265)</f>
        <v>0.00222530422364698</v>
      </c>
      <c r="F266" s="16" t="n">
        <f aca="false">D266/E266</f>
        <v>1.22156081476894</v>
      </c>
      <c r="G266" s="15" t="n">
        <f aca="false">IF(F266&gt;Summary!$B$27,1,0)</f>
        <v>0</v>
      </c>
    </row>
    <row r="267" customFormat="false" ht="15" hidden="false" customHeight="false" outlineLevel="0" collapsed="false">
      <c r="A267" s="21" t="n">
        <v>46213</v>
      </c>
      <c r="B267" s="37" t="n">
        <v>1.143</v>
      </c>
      <c r="C267" s="38" t="n">
        <f aca="false">B267/B266-1</f>
        <v>-0.000437254044599822</v>
      </c>
      <c r="D267" s="19" t="n">
        <f aca="false">ABS(C267)</f>
        <v>0.000437254044599822</v>
      </c>
      <c r="E267" s="19" t="n">
        <f aca="false">AVERAGE(D207:D266)</f>
        <v>0.00225223748347254</v>
      </c>
      <c r="F267" s="16" t="n">
        <f aca="false">D267/E267</f>
        <v>0.194142068857524</v>
      </c>
      <c r="G267" s="15" t="n">
        <f aca="false">IF(F267&gt;Summary!$B$27,1,0)</f>
        <v>0</v>
      </c>
    </row>
    <row r="268" customFormat="false" ht="15" hidden="false" customHeight="false" outlineLevel="0" collapsed="false">
      <c r="A268" s="21" t="n">
        <v>46216</v>
      </c>
      <c r="B268" s="37" t="n">
        <v>1.1424</v>
      </c>
      <c r="C268" s="38" t="n">
        <f aca="false">B268/B267-1</f>
        <v>-0.000524934383202003</v>
      </c>
      <c r="D268" s="19" t="n">
        <f aca="false">ABS(C268)</f>
        <v>0.000524934383202003</v>
      </c>
      <c r="E268" s="19" t="n">
        <f aca="false">AVERAGE(D208:D267)</f>
        <v>0.00225669539610042</v>
      </c>
      <c r="F268" s="16" t="n">
        <f aca="false">D268/E268</f>
        <v>0.232611979494039</v>
      </c>
      <c r="G268" s="15" t="n">
        <f aca="false">IF(F268&gt;Summary!$B$27,1,0)</f>
        <v>0</v>
      </c>
    </row>
    <row r="269" customFormat="false" ht="15" hidden="false" customHeight="false" outlineLevel="0" collapsed="false">
      <c r="A269" s="21" t="n">
        <v>46217</v>
      </c>
      <c r="B269" s="37" t="n">
        <v>1.1405</v>
      </c>
      <c r="C269" s="38" t="n">
        <f aca="false">B269/B268-1</f>
        <v>-0.00166316526610644</v>
      </c>
      <c r="D269" s="19" t="n">
        <f aca="false">ABS(C269)</f>
        <v>0.00166316526610644</v>
      </c>
      <c r="E269" s="19" t="n">
        <f aca="false">AVERAGE(D209:D268)</f>
        <v>0.0022442254941354</v>
      </c>
      <c r="F269" s="16" t="n">
        <f aca="false">D269/E269</f>
        <v>0.741086522032931</v>
      </c>
      <c r="G269" s="15" t="n">
        <f aca="false">IF(F269&gt;Summary!$B$27,1,0)</f>
        <v>0</v>
      </c>
    </row>
    <row r="270" customFormat="false" ht="15" hidden="false" customHeight="false" outlineLevel="0" collapsed="false">
      <c r="A270" s="21" t="n">
        <v>46218</v>
      </c>
      <c r="B270" s="37" t="n">
        <v>1.1406</v>
      </c>
      <c r="C270" s="38" t="n">
        <f aca="false">B270/B269-1</f>
        <v>8.76808417360486E-005</v>
      </c>
      <c r="D270" s="19" t="n">
        <f aca="false">ABS(C270)</f>
        <v>8.76808417360486E-005</v>
      </c>
      <c r="E270" s="19" t="n">
        <f aca="false">AVERAGE(D210:D269)</f>
        <v>0.00221967173844081</v>
      </c>
      <c r="F270" s="16" t="n">
        <f aca="false">D270/E270</f>
        <v>0.0395017155994604</v>
      </c>
      <c r="G270" s="15" t="n">
        <f aca="false">IF(F270&gt;Summary!$B$27,1,0)</f>
        <v>0</v>
      </c>
    </row>
    <row r="271" customFormat="false" ht="15" hidden="false" customHeight="false" outlineLevel="0" collapsed="false">
      <c r="A271" s="21" t="n">
        <v>46219</v>
      </c>
      <c r="B271" s="37" t="n">
        <v>1.1467</v>
      </c>
      <c r="C271" s="38" t="n">
        <f aca="false">B271/B270-1</f>
        <v>0.005348062423286</v>
      </c>
      <c r="D271" s="19" t="n">
        <f aca="false">ABS(C271)</f>
        <v>0.005348062423286</v>
      </c>
      <c r="E271" s="19" t="n">
        <f aca="false">AVERAGE(D211:D270)</f>
        <v>0.00221121245088244</v>
      </c>
      <c r="F271" s="16" t="n">
        <f aca="false">D271/E271</f>
        <v>2.41861084906235</v>
      </c>
      <c r="G271" s="15" t="n">
        <f aca="false">IF(F271&gt;Summary!$B$27,1,0)</f>
        <v>1</v>
      </c>
    </row>
    <row r="272" customFormat="false" ht="15" hidden="false" customHeight="false" outlineLevel="0" collapsed="false">
      <c r="A272" s="21" t="n">
        <v>46220</v>
      </c>
      <c r="B272" s="37" t="n">
        <v>1.1435</v>
      </c>
      <c r="C272" s="38" t="n">
        <f aca="false">B272/B271-1</f>
        <v>-0.00279061655184454</v>
      </c>
      <c r="D272" s="19" t="n">
        <f aca="false">ABS(C272)</f>
        <v>0.00279061655184454</v>
      </c>
      <c r="E272" s="19" t="n">
        <f aca="false">AVERAGE(D212:D271)</f>
        <v>0.00225218954860602</v>
      </c>
      <c r="F272" s="16" t="n">
        <f aca="false">D272/E272</f>
        <v>1.239068245198</v>
      </c>
      <c r="G272" s="15" t="n">
        <f aca="false">IF(F272&gt;Summary!$B$27,1,0)</f>
        <v>0</v>
      </c>
    </row>
    <row r="273" customFormat="false" ht="15" hidden="false" customHeight="false" outlineLevel="0" collapsed="false">
      <c r="A273" s="21" t="n">
        <v>46223</v>
      </c>
      <c r="B273" s="37" t="n">
        <v>1.1426</v>
      </c>
      <c r="C273" s="38" t="n">
        <f aca="false">B273/B272-1</f>
        <v>-0.000787057280279724</v>
      </c>
      <c r="D273" s="19" t="n">
        <f aca="false">ABS(C273)</f>
        <v>0.000787057280279724</v>
      </c>
      <c r="E273" s="19" t="n">
        <f aca="false">AVERAGE(D213:D272)</f>
        <v>0.00224330052335359</v>
      </c>
      <c r="F273" s="16" t="n">
        <f aca="false">D273/E273</f>
        <v>0.350847901155537</v>
      </c>
      <c r="G273" s="15" t="n">
        <f aca="false">IF(F273&gt;Summary!$B$27,1,0)</f>
        <v>0</v>
      </c>
    </row>
    <row r="274" customFormat="false" ht="15" hidden="false" customHeight="false" outlineLevel="0" collapsed="false">
      <c r="A274" s="21" t="n">
        <v>46224</v>
      </c>
      <c r="B274" s="37" t="n">
        <v>1.1418</v>
      </c>
      <c r="C274" s="38" t="n">
        <f aca="false">B274/B273-1</f>
        <v>-0.000700157535445611</v>
      </c>
      <c r="D274" s="19" t="n">
        <f aca="false">ABS(C274)</f>
        <v>0.000700157535445611</v>
      </c>
      <c r="E274" s="19" t="n">
        <f aca="false">AVERAGE(D214:D273)</f>
        <v>0.00223076396305998</v>
      </c>
      <c r="F274" s="16" t="n">
        <f aca="false">D274/E274</f>
        <v>0.313864463941399</v>
      </c>
      <c r="G274" s="15" t="n">
        <f aca="false">IF(F274&gt;Summary!$B$27,1,0)</f>
        <v>0</v>
      </c>
    </row>
    <row r="275" customFormat="false" ht="15" hidden="false" customHeight="false" outlineLevel="0" collapsed="false">
      <c r="A275" s="21" t="n">
        <v>46225</v>
      </c>
      <c r="B275" s="37" t="n">
        <v>1.1408</v>
      </c>
      <c r="C275" s="38" t="n">
        <f aca="false">B275/B274-1</f>
        <v>-0.000875810124364995</v>
      </c>
      <c r="D275" s="19" t="n">
        <f aca="false">ABS(C275)</f>
        <v>0.000875810124364995</v>
      </c>
      <c r="E275" s="19" t="n">
        <f aca="false">AVERAGE(D215:D274)</f>
        <v>0.00218978070522633</v>
      </c>
      <c r="F275" s="16" t="n">
        <f aca="false">D275/E275</f>
        <v>0.399953347965258</v>
      </c>
      <c r="G275" s="15" t="n">
        <f aca="false">IF(F275&gt;Summary!$B$27,1,0)</f>
        <v>0</v>
      </c>
    </row>
    <row r="276" customFormat="false" ht="15" hidden="false" customHeight="false" outlineLevel="0" collapsed="false">
      <c r="A276" s="21" t="n">
        <v>46226</v>
      </c>
      <c r="B276" s="37" t="n">
        <v>1.1392</v>
      </c>
      <c r="C276" s="38" t="n">
        <f aca="false">B276/B275-1</f>
        <v>-0.00140252454417955</v>
      </c>
      <c r="D276" s="19" t="n">
        <f aca="false">ABS(C276)</f>
        <v>0.00140252454417955</v>
      </c>
      <c r="E276" s="19" t="n">
        <f aca="false">AVERAGE(D216:D275)</f>
        <v>0.00210649686993703</v>
      </c>
      <c r="F276" s="16" t="n">
        <f aca="false">D276/E276</f>
        <v>0.66580898561766</v>
      </c>
      <c r="G276" s="15" t="n">
        <f aca="false">IF(F276&gt;Summary!$B$27,1,0)</f>
        <v>0</v>
      </c>
    </row>
    <row r="277" customFormat="false" ht="15" hidden="false" customHeight="false" outlineLevel="0" collapsed="false">
      <c r="A277" s="21" t="n">
        <v>46227</v>
      </c>
      <c r="B277" s="37" t="n">
        <v>1.1377</v>
      </c>
      <c r="C277" s="38" t="n">
        <f aca="false">B277/B276-1</f>
        <v>-0.0013167134831461</v>
      </c>
      <c r="D277" s="19" t="n">
        <f aca="false">ABS(C277)</f>
        <v>0.0013167134831461</v>
      </c>
      <c r="E277" s="19" t="n">
        <f aca="false">AVERAGE(D217:D276)</f>
        <v>0.00209277182238569</v>
      </c>
      <c r="F277" s="16" t="n">
        <f aca="false">D277/E277</f>
        <v>0.629172023945304</v>
      </c>
      <c r="G277" s="15" t="n">
        <f aca="false">IF(F277&gt;Summary!$B$27,1,0)</f>
        <v>0</v>
      </c>
    </row>
    <row r="278" customFormat="false" ht="15" hidden="false" customHeight="false" outlineLevel="0" collapsed="false">
      <c r="A278" s="21" t="n">
        <v>46230</v>
      </c>
      <c r="B278" s="37" t="n">
        <v>1.1389</v>
      </c>
      <c r="C278" s="38" t="n">
        <f aca="false">B278/B277-1</f>
        <v>0.00105475960270729</v>
      </c>
      <c r="D278" s="19" t="n">
        <f aca="false">ABS(C278)</f>
        <v>0.00105475960270729</v>
      </c>
      <c r="E278" s="19" t="n">
        <f aca="false">AVERAGE(D218:D277)</f>
        <v>0.00210902196196326</v>
      </c>
      <c r="F278" s="16" t="n">
        <f aca="false">D278/E278</f>
        <v>0.500117884844322</v>
      </c>
      <c r="G278" s="15" t="n">
        <f aca="false">IF(F278&gt;Summary!$B$27,1,0)</f>
        <v>0</v>
      </c>
    </row>
    <row r="279" customFormat="false" ht="15" hidden="false" customHeight="false" outlineLevel="0" collapsed="false">
      <c r="A279" s="21" t="n">
        <v>46231</v>
      </c>
      <c r="B279" s="37" t="n">
        <v>1.1367</v>
      </c>
      <c r="C279" s="38" t="n">
        <f aca="false">B279/B278-1</f>
        <v>-0.00193168847133196</v>
      </c>
      <c r="D279" s="19" t="n">
        <f aca="false">ABS(C279)</f>
        <v>0.00193168847133196</v>
      </c>
      <c r="E279" s="19" t="n">
        <f aca="false">AVERAGE(D219:D278)</f>
        <v>0.00212375277275185</v>
      </c>
      <c r="F279" s="16" t="n">
        <f aca="false">D279/E279</f>
        <v>0.909563719523238</v>
      </c>
      <c r="G279" s="15" t="n">
        <f aca="false">IF(F279&gt;Summary!$B$27,1,0)</f>
        <v>0</v>
      </c>
    </row>
    <row r="280" customFormat="false" ht="15" hidden="false" customHeight="false" outlineLevel="0" collapsed="false">
      <c r="A280" s="21" t="n">
        <v>46232</v>
      </c>
      <c r="B280" s="37" t="n">
        <v>1.138</v>
      </c>
      <c r="C280" s="38" t="n">
        <f aca="false">B280/B279-1</f>
        <v>0.00114366147620282</v>
      </c>
      <c r="D280" s="19" t="n">
        <f aca="false">ABS(C280)</f>
        <v>0.00114366147620282</v>
      </c>
      <c r="E280" s="19" t="n">
        <f aca="false">AVERAGE(D220:D279)</f>
        <v>0.00213600456066436</v>
      </c>
      <c r="F280" s="16" t="n">
        <f aca="false">D280/E280</f>
        <v>0.535420896220888</v>
      </c>
      <c r="G280" s="15" t="n">
        <f aca="false">IF(F280&gt;Summary!$B$27,1,0)</f>
        <v>0</v>
      </c>
    </row>
    <row r="281" customFormat="false" ht="15" hidden="false" customHeight="false" outlineLevel="0" collapsed="false">
      <c r="A281" s="21" t="n">
        <v>46233</v>
      </c>
      <c r="B281" s="37" t="n">
        <v>1.1476</v>
      </c>
      <c r="C281" s="38" t="n">
        <f aca="false">B281/B280-1</f>
        <v>0.0084358523725836</v>
      </c>
      <c r="D281" s="19" t="n">
        <f aca="false">ABS(C281)</f>
        <v>0.0084358523725836</v>
      </c>
      <c r="E281" s="19" t="n">
        <f aca="false">AVERAGE(D221:D280)</f>
        <v>0.00204667377740649</v>
      </c>
      <c r="F281" s="16" t="n">
        <f aca="false">D281/E281</f>
        <v>4.1217376534102</v>
      </c>
      <c r="G281" s="15" t="n">
        <f aca="false">IF(F281&gt;Summary!$B$27,1,0)</f>
        <v>1</v>
      </c>
    </row>
    <row r="282" customFormat="false" ht="15" hidden="false" customHeight="false" outlineLevel="0" collapsed="false">
      <c r="A282" s="21" t="n">
        <v>46234</v>
      </c>
      <c r="B282" s="37" t="n">
        <v>1.1485</v>
      </c>
      <c r="C282" s="38" t="n">
        <f aca="false">B282/B281-1</f>
        <v>0.000784245381666215</v>
      </c>
      <c r="D282" s="19" t="n">
        <f aca="false">ABS(C282)</f>
        <v>0.000784245381666215</v>
      </c>
      <c r="E282" s="19" t="n">
        <f aca="false">AVERAGE(D222:D281)</f>
        <v>0.00217593537634987</v>
      </c>
      <c r="F282" s="16" t="n">
        <f aca="false">D282/E282</f>
        <v>0.360417588771311</v>
      </c>
      <c r="G282" s="15" t="n">
        <f aca="false">IF(F282&gt;Summary!$B$27,1,0)</f>
        <v>0</v>
      </c>
    </row>
    <row r="283" customFormat="false" ht="15" hidden="false" customHeight="false" outlineLevel="0" collapsed="false">
      <c r="A283" s="21" t="n">
        <v>46237</v>
      </c>
      <c r="B283" s="37" t="n">
        <v>1.1535</v>
      </c>
      <c r="C283" s="38" t="n">
        <f aca="false">B283/B282-1</f>
        <v>0.00435350457117978</v>
      </c>
      <c r="D283" s="19" t="n">
        <f aca="false">ABS(C283)</f>
        <v>0.00435350457117978</v>
      </c>
      <c r="E283" s="19" t="n">
        <f aca="false">AVERAGE(D223:D282)</f>
        <v>0.00217626186763026</v>
      </c>
      <c r="F283" s="16" t="n">
        <f aca="false">D283/E283</f>
        <v>2.00045069756257</v>
      </c>
      <c r="G283" s="15" t="n">
        <f aca="false">IF(F283&gt;Summary!$B$27,1,0)</f>
        <v>1</v>
      </c>
    </row>
    <row r="284" customFormat="false" ht="15" hidden="false" customHeight="false" outlineLevel="0" collapsed="false">
      <c r="A284" s="21" t="n">
        <v>46238</v>
      </c>
      <c r="B284" s="37" t="n">
        <v>1.1515</v>
      </c>
      <c r="C284" s="38" t="n">
        <f aca="false">B284/B283-1</f>
        <v>-0.00173385348938016</v>
      </c>
      <c r="D284" s="19" t="n">
        <f aca="false">ABS(C284)</f>
        <v>0.00173385348938016</v>
      </c>
      <c r="E284" s="19" t="n">
        <f aca="false">AVERAGE(D224:D283)</f>
        <v>0.0022431518249208</v>
      </c>
      <c r="F284" s="16" t="n">
        <f aca="false">D284/E284</f>
        <v>0.77295413984801</v>
      </c>
      <c r="G284" s="15" t="n">
        <f aca="false">IF(F284&gt;Summary!$B$27,1,0)</f>
        <v>0</v>
      </c>
    </row>
    <row r="285" customFormat="false" ht="15" hidden="false" customHeight="false" outlineLevel="0" collapsed="false">
      <c r="A285" s="21" t="n">
        <v>46239</v>
      </c>
      <c r="B285" s="37" t="n">
        <v>1.1554</v>
      </c>
      <c r="C285" s="38" t="n">
        <f aca="false">B285/B284-1</f>
        <v>0.00338688666956144</v>
      </c>
      <c r="D285" s="19" t="n">
        <f aca="false">ABS(C285)</f>
        <v>0.00338688666956144</v>
      </c>
      <c r="E285" s="19" t="n">
        <f aca="false">AVERAGE(D225:D284)</f>
        <v>0.00223380033930323</v>
      </c>
      <c r="F285" s="16" t="n">
        <f aca="false">D285/E285</f>
        <v>1.51619937107623</v>
      </c>
      <c r="G285" s="15" t="n">
        <f aca="false">IF(F285&gt;Summary!$B$27,1,0)</f>
        <v>1</v>
      </c>
    </row>
    <row r="286" customFormat="false" ht="15" hidden="false" customHeight="false" outlineLevel="0" collapsed="false">
      <c r="A286" s="21" t="n">
        <v>46240</v>
      </c>
      <c r="B286" s="37" t="n">
        <v>1.1542</v>
      </c>
      <c r="C286" s="38" t="n">
        <f aca="false">B286/B285-1</f>
        <v>-0.00103860135018186</v>
      </c>
      <c r="D286" s="19" t="n">
        <f aca="false">ABS(C286)</f>
        <v>0.00103860135018186</v>
      </c>
      <c r="E286" s="19" t="n">
        <f aca="false">AVERAGE(D226:D285)</f>
        <v>0.00225759098468193</v>
      </c>
      <c r="F286" s="16" t="n">
        <f aca="false">D286/E286</f>
        <v>0.460048501800773</v>
      </c>
      <c r="G286" s="15" t="n">
        <f aca="false">IF(F286&gt;Summary!$B$27,1,0)</f>
        <v>0</v>
      </c>
    </row>
    <row r="287" customFormat="false" ht="15" hidden="false" customHeight="false" outlineLevel="0" collapsed="false">
      <c r="A287" s="21" t="n">
        <v>46241</v>
      </c>
      <c r="B287" s="37" t="n">
        <v>1.1535</v>
      </c>
      <c r="C287" s="38" t="n">
        <f aca="false">B287/B286-1</f>
        <v>-0.000606480679258281</v>
      </c>
      <c r="D287" s="19" t="n">
        <f aca="false">ABS(C287)</f>
        <v>0.000606480679258281</v>
      </c>
      <c r="E287" s="19" t="n">
        <f aca="false">AVERAGE(D227:D286)</f>
        <v>0.00225640619995776</v>
      </c>
      <c r="F287" s="16" t="n">
        <f aca="false">D287/E287</f>
        <v>0.268781693327041</v>
      </c>
      <c r="G287" s="15" t="n">
        <f aca="false">IF(F287&gt;Summary!$B$27,1,0)</f>
        <v>0</v>
      </c>
    </row>
    <row r="288" customFormat="false" ht="15" hidden="false" customHeight="false" outlineLevel="0" collapsed="false">
      <c r="A288" s="21" t="n">
        <v>46244</v>
      </c>
      <c r="B288" s="37" t="n">
        <v>1.1555</v>
      </c>
      <c r="C288" s="38" t="n">
        <f aca="false">B288/B287-1</f>
        <v>0.00173385348938004</v>
      </c>
      <c r="D288" s="19" t="n">
        <f aca="false">ABS(C288)</f>
        <v>0.00173385348938004</v>
      </c>
      <c r="E288" s="19" t="n">
        <f aca="false">AVERAGE(D228:D287)</f>
        <v>0.00216111912212019</v>
      </c>
      <c r="F288" s="16" t="n">
        <f aca="false">D288/E288</f>
        <v>0.802294270423663</v>
      </c>
      <c r="G288" s="15" t="n">
        <f aca="false">IF(F288&gt;Summary!$B$27,1,0)</f>
        <v>0</v>
      </c>
    </row>
    <row r="289" customFormat="false" ht="15" hidden="false" customHeight="false" outlineLevel="0" collapsed="false">
      <c r="A289" s="21" t="n">
        <v>46245</v>
      </c>
      <c r="B289" s="37" t="n">
        <v>1.154</v>
      </c>
      <c r="C289" s="38" t="n">
        <f aca="false">B289/B288-1</f>
        <v>-0.00129813933362188</v>
      </c>
      <c r="D289" s="19" t="n">
        <f aca="false">ABS(C289)</f>
        <v>0.00129813933362188</v>
      </c>
      <c r="E289" s="19" t="n">
        <f aca="false">AVERAGE(D229:D288)</f>
        <v>0.00216135024294136</v>
      </c>
      <c r="F289" s="16" t="n">
        <f aca="false">D289/E289</f>
        <v>0.600614980316777</v>
      </c>
      <c r="G289" s="15" t="n">
        <f aca="false">IF(F289&gt;Summary!$B$27,1,0)</f>
        <v>0</v>
      </c>
    </row>
    <row r="290" customFormat="false" ht="15" hidden="false" customHeight="false" outlineLevel="0" collapsed="false">
      <c r="A290" s="21" t="n">
        <v>46246</v>
      </c>
      <c r="B290" s="37" t="n">
        <v>1.1545</v>
      </c>
      <c r="C290" s="38" t="n">
        <f aca="false">B290/B289-1</f>
        <v>0.00043327556325834</v>
      </c>
      <c r="D290" s="19" t="n">
        <f aca="false">ABS(C290)</f>
        <v>0.00043327556325834</v>
      </c>
      <c r="E290" s="19" t="n">
        <f aca="false">AVERAGE(D230:D289)</f>
        <v>0.00214292179593762</v>
      </c>
      <c r="F290" s="16" t="n">
        <f aca="false">D290/E290</f>
        <v>0.202189162516201</v>
      </c>
      <c r="G290" s="15" t="n">
        <f aca="false">IF(F290&gt;Summary!$B$27,1,0)</f>
        <v>0</v>
      </c>
    </row>
    <row r="291" customFormat="false" ht="15" hidden="false" customHeight="false" outlineLevel="0" collapsed="false">
      <c r="A291" s="21" t="n">
        <v>46247</v>
      </c>
      <c r="B291" s="37" t="n">
        <v>1.1534</v>
      </c>
      <c r="C291" s="38" t="n">
        <f aca="false">B291/B290-1</f>
        <v>-0.00095279341706378</v>
      </c>
      <c r="D291" s="19" t="n">
        <f aca="false">ABS(C291)</f>
        <v>0.00095279341706378</v>
      </c>
      <c r="E291" s="19" t="n">
        <f aca="false">AVERAGE(D231:D290)</f>
        <v>0.00212145688206077</v>
      </c>
      <c r="F291" s="16" t="n">
        <f aca="false">D291/E291</f>
        <v>0.449122216492207</v>
      </c>
      <c r="G291" s="15" t="n">
        <f aca="false">IF(F291&gt;Summary!$B$27,1,0)</f>
        <v>0</v>
      </c>
    </row>
    <row r="292" customFormat="false" ht="15" hidden="false" customHeight="false" outlineLevel="0" collapsed="false">
      <c r="A292" s="21" t="n">
        <v>46248</v>
      </c>
      <c r="B292" s="37" t="n">
        <v>1.1567</v>
      </c>
      <c r="C292" s="38" t="n">
        <f aca="false">B292/B291-1</f>
        <v>0.00286110629443392</v>
      </c>
      <c r="D292" s="19" t="n">
        <f aca="false">ABS(C292)</f>
        <v>0.00286110629443392</v>
      </c>
      <c r="E292" s="19" t="n">
        <f aca="false">AVERAGE(D232:D291)</f>
        <v>0.00213589999073597</v>
      </c>
      <c r="F292" s="16" t="n">
        <f aca="false">D292/E292</f>
        <v>1.33953195694714</v>
      </c>
      <c r="G292" s="15" t="n">
        <f aca="false">IF(F292&gt;Summary!$B$27,1,0)</f>
        <v>0</v>
      </c>
    </row>
    <row r="293" customFormat="false" ht="15" hidden="false" customHeight="false" outlineLevel="0" collapsed="false">
      <c r="A293" s="21" t="n">
        <v>46251</v>
      </c>
      <c r="B293" s="37" t="n">
        <v>1.1593</v>
      </c>
      <c r="C293" s="38" t="n">
        <f aca="false">B293/B292-1</f>
        <v>0.00224777383937047</v>
      </c>
      <c r="D293" s="19" t="n">
        <f aca="false">ABS(C293)</f>
        <v>0.00224777383937047</v>
      </c>
      <c r="E293" s="19" t="n">
        <f aca="false">AVERAGE(D233:D292)</f>
        <v>0.00217783747372177</v>
      </c>
      <c r="F293" s="16" t="n">
        <f aca="false">D293/E293</f>
        <v>1.03211275703195</v>
      </c>
      <c r="G293" s="15" t="n">
        <f aca="false">IF(F293&gt;Summary!$B$27,1,0)</f>
        <v>0</v>
      </c>
    </row>
    <row r="294" customFormat="false" ht="15" hidden="false" customHeight="false" outlineLevel="0" collapsed="false">
      <c r="A294" s="21" t="n">
        <v>46252</v>
      </c>
      <c r="B294" s="37" t="n">
        <v>1.1576</v>
      </c>
      <c r="C294" s="38" t="n">
        <f aca="false">B294/B293-1</f>
        <v>-0.001466402139222</v>
      </c>
      <c r="D294" s="19" t="n">
        <f aca="false">ABS(C294)</f>
        <v>0.001466402139222</v>
      </c>
      <c r="E294" s="19" t="n">
        <f aca="false">AVERAGE(D234:D293)</f>
        <v>0.0021463051144685</v>
      </c>
      <c r="F294" s="16" t="n">
        <f aca="false">D294/E294</f>
        <v>0.683221658158854</v>
      </c>
      <c r="G294" s="15" t="n">
        <f aca="false">IF(F294&gt;Summary!$B$27,1,0)</f>
        <v>0</v>
      </c>
    </row>
    <row r="295" customFormat="false" ht="15" hidden="false" customHeight="false" outlineLevel="0" collapsed="false">
      <c r="A295" s="21" t="n">
        <v>46253</v>
      </c>
      <c r="B295" s="37" t="n">
        <v>1.1605</v>
      </c>
      <c r="C295" s="38" t="n">
        <f aca="false">B295/B294-1</f>
        <v>0.00250518313752601</v>
      </c>
      <c r="D295" s="19" t="n">
        <f aca="false">ABS(C295)</f>
        <v>0.00250518313752601</v>
      </c>
      <c r="E295" s="19" t="n">
        <f aca="false">AVERAGE(D235:D294)</f>
        <v>0.00215786187261641</v>
      </c>
      <c r="F295" s="16" t="n">
        <f aca="false">D295/E295</f>
        <v>1.16095620823426</v>
      </c>
      <c r="G295" s="15" t="n">
        <f aca="false">IF(F295&gt;Summary!$B$27,1,0)</f>
        <v>0</v>
      </c>
    </row>
    <row r="296" customFormat="false" ht="15" hidden="false" customHeight="false" outlineLevel="0" collapsed="false">
      <c r="A296" s="21" t="n">
        <v>46254</v>
      </c>
      <c r="B296" s="37" t="n">
        <v>1.1681</v>
      </c>
      <c r="C296" s="38" t="n">
        <f aca="false">B296/B295-1</f>
        <v>0.00654890133563102</v>
      </c>
      <c r="D296" s="19" t="n">
        <f aca="false">ABS(C296)</f>
        <v>0.00654890133563102</v>
      </c>
      <c r="E296" s="19" t="n">
        <f aca="false">AVERAGE(D236:D295)</f>
        <v>0.00219531717692845</v>
      </c>
      <c r="F296" s="16" t="n">
        <f aca="false">D296/E296</f>
        <v>2.98312307873153</v>
      </c>
      <c r="G296" s="15" t="n">
        <f aca="false">IF(F296&gt;Summary!$B$27,1,0)</f>
        <v>1</v>
      </c>
    </row>
    <row r="297" customFormat="false" ht="15" hidden="false" customHeight="false" outlineLevel="0" collapsed="false">
      <c r="A297" s="21" t="n">
        <v>46255</v>
      </c>
      <c r="B297" s="37" t="n">
        <v>1.1699</v>
      </c>
      <c r="C297" s="38" t="n">
        <f aca="false">B297/B296-1</f>
        <v>0.00154096395856529</v>
      </c>
      <c r="D297" s="19" t="n">
        <f aca="false">ABS(C297)</f>
        <v>0.00154096395856529</v>
      </c>
      <c r="E297" s="19" t="n">
        <f aca="false">AVERAGE(D237:D296)</f>
        <v>0.00227582126567231</v>
      </c>
      <c r="F297" s="16" t="n">
        <f aca="false">D297/E297</f>
        <v>0.677102363796599</v>
      </c>
      <c r="G297" s="15" t="n">
        <f aca="false">IF(F297&gt;Summary!$B$27,1,0)</f>
        <v>0</v>
      </c>
    </row>
    <row r="298" customFormat="false" ht="15" hidden="false" customHeight="false" outlineLevel="0" collapsed="false">
      <c r="A298" s="21" t="n">
        <v>46258</v>
      </c>
      <c r="B298" s="37" t="n">
        <v>1.1664</v>
      </c>
      <c r="C298" s="38" t="n">
        <f aca="false">B298/B297-1</f>
        <v>-0.00299170869305054</v>
      </c>
      <c r="D298" s="19" t="n">
        <f aca="false">ABS(C298)</f>
        <v>0.00299170869305054</v>
      </c>
      <c r="E298" s="19" t="n">
        <f aca="false">AVERAGE(D238:D297)</f>
        <v>0.00226276766363313</v>
      </c>
      <c r="F298" s="16" t="n">
        <f aca="false">D298/E298</f>
        <v>1.32214576915379</v>
      </c>
      <c r="G298" s="15" t="n">
        <f aca="false">IF(F298&gt;Summary!$B$27,1,0)</f>
        <v>0</v>
      </c>
    </row>
    <row r="299" customFormat="false" ht="15" hidden="false" customHeight="false" outlineLevel="0" collapsed="false">
      <c r="A299" s="21" t="n">
        <v>46259</v>
      </c>
      <c r="B299" s="37" t="n">
        <v>1.1662</v>
      </c>
      <c r="C299" s="38" t="n">
        <f aca="false">B299/B298-1</f>
        <v>-0.000171467764060518</v>
      </c>
      <c r="D299" s="19" t="n">
        <f aca="false">ABS(C299)</f>
        <v>0.000171467764060518</v>
      </c>
      <c r="E299" s="19" t="n">
        <f aca="false">AVERAGE(D239:D298)</f>
        <v>0.00230976677050059</v>
      </c>
      <c r="F299" s="16" t="n">
        <f aca="false">D299/E299</f>
        <v>0.0742359645356557</v>
      </c>
      <c r="G299" s="15" t="n">
        <f aca="false">IF(F299&gt;Summary!$B$27,1,0)</f>
        <v>0</v>
      </c>
    </row>
    <row r="300" customFormat="false" ht="15" hidden="false" customHeight="false" outlineLevel="0" collapsed="false">
      <c r="A300" s="21" t="n">
        <v>46260</v>
      </c>
      <c r="B300" s="37" t="n">
        <v>1.1669</v>
      </c>
      <c r="C300" s="38" t="n">
        <f aca="false">B300/B299-1</f>
        <v>0.00060024009603854</v>
      </c>
      <c r="D300" s="19" t="n">
        <f aca="false">ABS(C300)</f>
        <v>0.00060024009603854</v>
      </c>
      <c r="E300" s="19" t="n">
        <f aca="false">AVERAGE(D240:D299)</f>
        <v>0.00230833124697356</v>
      </c>
      <c r="F300" s="16" t="n">
        <f aca="false">D300/E300</f>
        <v>0.260032045585101</v>
      </c>
      <c r="G300" s="15" t="n">
        <f aca="false">IF(F300&gt;Summary!$B$27,1,0)</f>
        <v>0</v>
      </c>
    </row>
    <row r="301" customFormat="false" ht="15" hidden="false" customHeight="false" outlineLevel="0" collapsed="false">
      <c r="A301" s="21" t="n">
        <v>46261</v>
      </c>
      <c r="B301" s="37" t="n">
        <v>1.1645</v>
      </c>
      <c r="C301" s="38" t="n">
        <f aca="false">B301/B300-1</f>
        <v>-0.00205673151084063</v>
      </c>
      <c r="D301" s="19" t="n">
        <f aca="false">ABS(C301)</f>
        <v>0.00205673151084063</v>
      </c>
      <c r="E301" s="19" t="n">
        <f aca="false">AVERAGE(D241:D300)</f>
        <v>0.00226825941946154</v>
      </c>
      <c r="F301" s="16" t="n">
        <f aca="false">D301/E301</f>
        <v>0.906744393165078</v>
      </c>
      <c r="G301" s="15" t="n">
        <f aca="false">IF(F301&gt;Summary!$B$27,1,0)</f>
        <v>0</v>
      </c>
    </row>
    <row r="302" customFormat="false" ht="15" hidden="false" customHeight="false" outlineLevel="0" collapsed="false">
      <c r="A302" s="21" t="n">
        <v>46262</v>
      </c>
      <c r="B302" s="37" t="n">
        <v>1.1643</v>
      </c>
      <c r="C302" s="38" t="n">
        <f aca="false">B302/B301-1</f>
        <v>-0.000171747531129363</v>
      </c>
      <c r="D302" s="19" t="n">
        <f aca="false">ABS(C302)</f>
        <v>0.000171747531129363</v>
      </c>
      <c r="E302" s="19" t="n">
        <f aca="false">AVERAGE(D242:D301)</f>
        <v>0.00226522698700489</v>
      </c>
      <c r="F302" s="16" t="n">
        <f aca="false">D302/E302</f>
        <v>0.0758191263456779</v>
      </c>
      <c r="G302" s="15" t="n">
        <f aca="false">IF(F302&gt;Summary!$B$27,1,0)</f>
        <v>0</v>
      </c>
    </row>
    <row r="303" customFormat="false" ht="15" hidden="false" customHeight="false" outlineLevel="0" collapsed="false">
      <c r="A303" s="21" t="n">
        <v>46265</v>
      </c>
      <c r="B303" s="37" t="n">
        <v>1.1596</v>
      </c>
      <c r="C303" s="38" t="n">
        <f aca="false">B303/B302-1</f>
        <v>-0.00403676028514977</v>
      </c>
      <c r="D303" s="19" t="n">
        <f aca="false">ABS(C303)</f>
        <v>0.00403676028514977</v>
      </c>
      <c r="E303" s="19" t="n">
        <f aca="false">AVERAGE(D243:D302)</f>
        <v>0.00226808944585704</v>
      </c>
      <c r="F303" s="16" t="n">
        <f aca="false">D303/E303</f>
        <v>1.77980647655825</v>
      </c>
      <c r="G303" s="15" t="n">
        <f aca="false">IF(F303&gt;Summary!$B$27,1,0)</f>
        <v>1</v>
      </c>
    </row>
    <row r="304" customFormat="false" ht="15" hidden="false" customHeight="false" outlineLevel="0" collapsed="false">
      <c r="A304" s="21" t="n">
        <v>46266</v>
      </c>
      <c r="B304" s="37" t="n">
        <v>1.159</v>
      </c>
      <c r="C304" s="38" t="n">
        <f aca="false">B304/B303-1</f>
        <v>-0.000517419799930918</v>
      </c>
      <c r="D304" s="19" t="n">
        <f aca="false">ABS(C304)</f>
        <v>0.000517419799930918</v>
      </c>
      <c r="E304" s="19" t="n">
        <f aca="false">AVERAGE(D244:D303)</f>
        <v>0.00219218436240793</v>
      </c>
      <c r="F304" s="16" t="n">
        <f aca="false">D304/E304</f>
        <v>0.236029327096639</v>
      </c>
      <c r="G304" s="15" t="n">
        <f aca="false">IF(F304&gt;Summary!$B$27,1,0)</f>
        <v>0</v>
      </c>
    </row>
    <row r="305" customFormat="false" ht="15" hidden="false" customHeight="false" outlineLevel="0" collapsed="false">
      <c r="A305" s="21" t="n">
        <v>46267</v>
      </c>
      <c r="B305" s="37" t="n">
        <v>1.1578</v>
      </c>
      <c r="C305" s="38" t="n">
        <f aca="false">B305/B304-1</f>
        <v>-0.00103537532355491</v>
      </c>
      <c r="D305" s="19" t="n">
        <f aca="false">ABS(C305)</f>
        <v>0.00103537532355491</v>
      </c>
      <c r="E305" s="19" t="n">
        <f aca="false">AVERAGE(D245:D304)</f>
        <v>0.00215314771378171</v>
      </c>
      <c r="F305" s="16" t="n">
        <f aca="false">D305/E305</f>
        <v>0.480865904799637</v>
      </c>
      <c r="G305" s="15" t="n">
        <f aca="false">IF(F305&gt;Summary!$B$27,1,0)</f>
        <v>0</v>
      </c>
    </row>
    <row r="306" customFormat="false" ht="15" hidden="false" customHeight="false" outlineLevel="0" collapsed="false">
      <c r="A306" s="21" t="n">
        <v>46268</v>
      </c>
      <c r="B306" s="37" t="n">
        <v>1.1615</v>
      </c>
      <c r="C306" s="38" t="n">
        <f aca="false">B306/B305-1</f>
        <v>0.0031957160131284</v>
      </c>
      <c r="D306" s="19" t="n">
        <f aca="false">ABS(C306)</f>
        <v>0.0031957160131284</v>
      </c>
      <c r="E306" s="19" t="n">
        <f aca="false">AVERAGE(D246:D305)</f>
        <v>0.00212143942526461</v>
      </c>
      <c r="F306" s="16" t="n">
        <f aca="false">D306/E306</f>
        <v>1.50639041354188</v>
      </c>
      <c r="G306" s="15" t="n">
        <f aca="false">IF(F306&gt;Summary!$B$27,1,0)</f>
        <v>1</v>
      </c>
    </row>
    <row r="307" customFormat="false" ht="15" hidden="false" customHeight="false" outlineLevel="0" collapsed="false">
      <c r="A307" s="21" t="n">
        <v>46269</v>
      </c>
      <c r="B307" s="37" t="n">
        <v>1.1622</v>
      </c>
      <c r="C307" s="38" t="n">
        <f aca="false">B307/B306-1</f>
        <v>0.000602668962548458</v>
      </c>
      <c r="D307" s="19" t="n">
        <f aca="false">ABS(C307)</f>
        <v>0.000602668962548458</v>
      </c>
      <c r="E307" s="19" t="n">
        <f aca="false">AVERAGE(D247:D306)</f>
        <v>0.00217181260473639</v>
      </c>
      <c r="F307" s="16" t="n">
        <f aca="false">D307/E307</f>
        <v>0.277495839758058</v>
      </c>
      <c r="G307" s="15" t="n">
        <f aca="false">IF(F307&gt;Summary!$B$27,1,0)</f>
        <v>0</v>
      </c>
    </row>
    <row r="308" customFormat="false" ht="15" hidden="false" customHeight="false" outlineLevel="0" collapsed="false">
      <c r="A308" s="21" t="n">
        <v>46272</v>
      </c>
      <c r="B308" s="37" t="n">
        <v>1.1622</v>
      </c>
      <c r="C308" s="38" t="n">
        <f aca="false">B308/B307-1</f>
        <v>0</v>
      </c>
      <c r="D308" s="19" t="n">
        <f aca="false">ABS(C308)</f>
        <v>0</v>
      </c>
      <c r="E308" s="19" t="n">
        <f aca="false">AVERAGE(D248:D307)</f>
        <v>0.00213851826452796</v>
      </c>
      <c r="F308" s="16" t="n">
        <f aca="false">D308/E308</f>
        <v>0</v>
      </c>
      <c r="G308" s="15" t="n">
        <f aca="false">IF(F308&gt;Summary!$B$27,1,0)</f>
        <v>0</v>
      </c>
    </row>
    <row r="309" customFormat="false" ht="15" hidden="false" customHeight="false" outlineLevel="0" collapsed="false">
      <c r="A309" s="21" t="n">
        <v>46273</v>
      </c>
      <c r="B309" s="37" t="n">
        <v>1.1614</v>
      </c>
      <c r="C309" s="38" t="n">
        <f aca="false">B309/B308-1</f>
        <v>-0.000688349681638223</v>
      </c>
      <c r="D309" s="19" t="n">
        <f aca="false">ABS(C309)</f>
        <v>0.000688349681638223</v>
      </c>
      <c r="E309" s="19" t="n">
        <f aca="false">AVERAGE(D249:D308)</f>
        <v>0.00208088303787743</v>
      </c>
      <c r="F309" s="16" t="n">
        <f aca="false">D309/E309</f>
        <v>0.33079691126723</v>
      </c>
      <c r="G309" s="15" t="n">
        <f aca="false">IF(F309&gt;Summary!$B$27,1,0)</f>
        <v>0</v>
      </c>
    </row>
    <row r="310" customFormat="false" ht="15" hidden="false" customHeight="false" outlineLevel="0" collapsed="false">
      <c r="A310" s="21" t="n">
        <v>46274</v>
      </c>
      <c r="B310" s="37" t="n">
        <v>1.1652</v>
      </c>
      <c r="C310" s="38" t="n">
        <f aca="false">B310/B309-1</f>
        <v>0.00327191320819709</v>
      </c>
      <c r="D310" s="19" t="n">
        <f aca="false">ABS(C310)</f>
        <v>0.00327191320819709</v>
      </c>
      <c r="E310" s="19" t="n">
        <f aca="false">AVERAGE(D250:D309)</f>
        <v>0.00207368863615831</v>
      </c>
      <c r="F310" s="16" t="n">
        <f aca="false">D310/E310</f>
        <v>1.57782279901894</v>
      </c>
      <c r="G310" s="15" t="n">
        <f aca="false">IF(F310&gt;Summary!$B$27,1,0)</f>
        <v>1</v>
      </c>
    </row>
    <row r="311" customFormat="false" ht="15" hidden="false" customHeight="false" outlineLevel="0" collapsed="false">
      <c r="A311" s="21" t="n">
        <v>46275</v>
      </c>
      <c r="B311" s="37" t="n">
        <v>1.1616</v>
      </c>
      <c r="C311" s="38" t="n">
        <f aca="false">B311/B310-1</f>
        <v>-0.00308959835221423</v>
      </c>
      <c r="D311" s="19" t="n">
        <f aca="false">ABS(C311)</f>
        <v>0.00308959835221423</v>
      </c>
      <c r="E311" s="19" t="n">
        <f aca="false">AVERAGE(D251:D310)</f>
        <v>0.00212390794749153</v>
      </c>
      <c r="F311" s="16" t="n">
        <f aca="false">D311/E311</f>
        <v>1.45467620471181</v>
      </c>
      <c r="G311" s="15" t="n">
        <f aca="false">IF(F311&gt;Summary!$B$27,1,0)</f>
        <v>0</v>
      </c>
    </row>
    <row r="312" customFormat="false" ht="15" hidden="false" customHeight="false" outlineLevel="0" collapsed="false">
      <c r="A312" s="21" t="n">
        <v>46276</v>
      </c>
      <c r="B312" s="37" t="n">
        <v>1.1592</v>
      </c>
      <c r="C312" s="38" t="n">
        <f aca="false">B312/B311-1</f>
        <v>-0.00206611570247928</v>
      </c>
      <c r="D312" s="19" t="n">
        <f aca="false">ABS(C312)</f>
        <v>0.00206611570247928</v>
      </c>
      <c r="E312" s="19" t="n">
        <f aca="false">AVERAGE(D252:D311)</f>
        <v>0.00198847461487788</v>
      </c>
      <c r="F312" s="16" t="n">
        <f aca="false">D312/E312</f>
        <v>1.03904555130877</v>
      </c>
      <c r="G312" s="15" t="n">
        <f aca="false">IF(F312&gt;Summary!$B$27,1,0)</f>
        <v>0</v>
      </c>
    </row>
    <row r="313" customFormat="false" ht="15" hidden="false" customHeight="false" outlineLevel="0" collapsed="false">
      <c r="A313" s="21" t="n">
        <v>46279</v>
      </c>
      <c r="B313" s="37" t="n">
        <v>1.1551</v>
      </c>
      <c r="C313" s="38" t="n">
        <f aca="false">B313/B312-1</f>
        <v>-0.00353692201518285</v>
      </c>
      <c r="D313" s="19" t="n">
        <f aca="false">ABS(C313)</f>
        <v>0.00353692201518285</v>
      </c>
      <c r="E313" s="19" t="n">
        <f aca="false">AVERAGE(D253:D312)</f>
        <v>0.0020141846344604</v>
      </c>
      <c r="F313" s="16" t="n">
        <f aca="false">D313/E313</f>
        <v>1.75600684995315</v>
      </c>
      <c r="G313" s="15" t="n">
        <f aca="false">IF(F313&gt;Summary!$B$27,1,0)</f>
        <v>1</v>
      </c>
    </row>
    <row r="314" customFormat="false" ht="15" hidden="false" customHeight="false" outlineLevel="0" collapsed="false">
      <c r="A314" s="21" t="n">
        <v>46280</v>
      </c>
      <c r="B314" s="37" t="n">
        <v>1.1539</v>
      </c>
      <c r="C314" s="38" t="n">
        <f aca="false">B314/B313-1</f>
        <v>-0.00103887109341194</v>
      </c>
      <c r="D314" s="19" t="n">
        <f aca="false">ABS(C314)</f>
        <v>0.00103887109341194</v>
      </c>
      <c r="E314" s="19" t="n">
        <f aca="false">AVERAGE(D254:D313)</f>
        <v>0.00205714542738517</v>
      </c>
      <c r="F314" s="16" t="n">
        <f aca="false">D314/E314</f>
        <v>0.505006150553219</v>
      </c>
      <c r="G314" s="15" t="n">
        <f aca="false">IF(F314&gt;Summary!$B$27,1,0)</f>
        <v>0</v>
      </c>
    </row>
    <row r="315" customFormat="false" ht="15" hidden="false" customHeight="false" outlineLevel="0" collapsed="false">
      <c r="A315" s="21" t="n">
        <v>46281</v>
      </c>
      <c r="B315" s="37" t="n">
        <v>1.1537</v>
      </c>
      <c r="C315" s="38" t="n">
        <f aca="false">B315/B314-1</f>
        <v>-0.000173325244821942</v>
      </c>
      <c r="D315" s="19" t="n">
        <f aca="false">ABS(C315)</f>
        <v>0.000173325244821942</v>
      </c>
      <c r="E315" s="19" t="n">
        <f aca="false">AVERAGE(D255:D314)</f>
        <v>0.00198135007596252</v>
      </c>
      <c r="F315" s="16" t="n">
        <f aca="false">D315/E315</f>
        <v>0.0874783547464435</v>
      </c>
      <c r="G315" s="15" t="n">
        <f aca="false">IF(F315&gt;Summary!$B$27,1,0)</f>
        <v>0</v>
      </c>
    </row>
    <row r="316" customFormat="false" ht="15" hidden="false" customHeight="false" outlineLevel="0" collapsed="false">
      <c r="A316" s="21" t="n">
        <v>46282</v>
      </c>
      <c r="B316" s="37" t="n">
        <v>1.1481</v>
      </c>
      <c r="C316" s="38" t="n">
        <f aca="false">B316/B315-1</f>
        <v>-0.00485394816676787</v>
      </c>
      <c r="D316" s="19" t="n">
        <f aca="false">ABS(C316)</f>
        <v>0.00485394816676787</v>
      </c>
      <c r="E316" s="19" t="n">
        <f aca="false">AVERAGE(D256:D315)</f>
        <v>0.00190816205101667</v>
      </c>
      <c r="F316" s="16" t="n">
        <f aca="false">D316/E316</f>
        <v>2.54378194146649</v>
      </c>
      <c r="G316" s="15" t="n">
        <f aca="false">IF(F316&gt;Summary!$B$27,1,0)</f>
        <v>1</v>
      </c>
    </row>
    <row r="317" customFormat="false" ht="15" hidden="false" customHeight="false" outlineLevel="0" collapsed="false">
      <c r="A317" s="21" t="n">
        <v>46283</v>
      </c>
      <c r="B317" s="37" t="n">
        <v>1.146</v>
      </c>
      <c r="C317" s="38" t="n">
        <f aca="false">B317/B316-1</f>
        <v>-0.00182910896263389</v>
      </c>
      <c r="D317" s="19" t="n">
        <f aca="false">ABS(C317)</f>
        <v>0.00182910896263389</v>
      </c>
      <c r="E317" s="19" t="n">
        <f aca="false">AVERAGE(D257:D316)</f>
        <v>0.00198612173974557</v>
      </c>
      <c r="F317" s="16" t="n">
        <f aca="false">D317/E317</f>
        <v>0.920945038781056</v>
      </c>
      <c r="G317" s="15" t="n">
        <f aca="false">IF(F317&gt;Summary!$B$27,1,0)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0"/>
    <col collapsed="false" customWidth="true" hidden="false" outlineLevel="0" max="2" min="2" style="0" width="100"/>
    <col collapsed="false" customWidth="true" hidden="false" outlineLevel="0" max="3" min="3" style="0" width="12"/>
  </cols>
  <sheetData>
    <row r="1" customFormat="false" ht="16.15" hidden="false" customHeight="false" outlineLevel="0" collapsed="false">
      <c r="A1" s="1" t="s">
        <v>55</v>
      </c>
    </row>
    <row r="3" customFormat="false" ht="43.5" hidden="false" customHeight="true" outlineLevel="0" collapsed="false">
      <c r="A3" s="3" t="s">
        <v>56</v>
      </c>
      <c r="B3" s="3" t="s">
        <v>57</v>
      </c>
      <c r="C3" s="3" t="s">
        <v>58</v>
      </c>
    </row>
    <row r="4" customFormat="false" ht="15" hidden="false" customHeight="false" outlineLevel="0" collapsed="false">
      <c r="A4" s="15" t="s">
        <v>59</v>
      </c>
      <c r="B4" s="15" t="s">
        <v>60</v>
      </c>
      <c r="C4" s="15" t="s">
        <v>61</v>
      </c>
    </row>
    <row r="5" customFormat="false" ht="15" hidden="false" customHeight="false" outlineLevel="0" collapsed="false">
      <c r="A5" s="15" t="s">
        <v>62</v>
      </c>
      <c r="B5" s="15" t="s">
        <v>63</v>
      </c>
      <c r="C5" s="15" t="s">
        <v>61</v>
      </c>
    </row>
    <row r="6" customFormat="false" ht="15" hidden="false" customHeight="false" outlineLevel="0" collapsed="false">
      <c r="A6" s="15" t="s">
        <v>64</v>
      </c>
      <c r="B6" s="15" t="s">
        <v>65</v>
      </c>
      <c r="C6" s="15" t="s">
        <v>61</v>
      </c>
    </row>
    <row r="7" customFormat="false" ht="15" hidden="false" customHeight="false" outlineLevel="0" collapsed="false">
      <c r="A7" s="15" t="s">
        <v>66</v>
      </c>
      <c r="B7" s="15" t="s">
        <v>67</v>
      </c>
      <c r="C7" s="15" t="s">
        <v>61</v>
      </c>
    </row>
    <row r="8" customFormat="false" ht="15" hidden="false" customHeight="false" outlineLevel="0" collapsed="false">
      <c r="A8" s="15" t="s">
        <v>68</v>
      </c>
      <c r="B8" s="15" t="s">
        <v>69</v>
      </c>
      <c r="C8" s="15" t="s">
        <v>61</v>
      </c>
    </row>
    <row r="9" customFormat="false" ht="15" hidden="false" customHeight="false" outlineLevel="0" collapsed="false">
      <c r="A9" s="15" t="s">
        <v>70</v>
      </c>
      <c r="B9" s="15" t="s">
        <v>71</v>
      </c>
      <c r="C9" s="15" t="s">
        <v>61</v>
      </c>
    </row>
    <row r="10" customFormat="false" ht="15" hidden="false" customHeight="false" outlineLevel="0" collapsed="false">
      <c r="A10" s="15" t="s">
        <v>72</v>
      </c>
      <c r="B10" s="15" t="s">
        <v>73</v>
      </c>
      <c r="C10" s="15" t="s">
        <v>61</v>
      </c>
    </row>
    <row r="11" customFormat="false" ht="15" hidden="false" customHeight="false" outlineLevel="0" collapsed="false">
      <c r="A11" s="15" t="s">
        <v>74</v>
      </c>
      <c r="B11" s="15" t="s">
        <v>75</v>
      </c>
      <c r="C11" s="15" t="s">
        <v>61</v>
      </c>
    </row>
    <row r="12" customFormat="false" ht="15" hidden="false" customHeight="false" outlineLevel="0" collapsed="false">
      <c r="A12" s="15" t="s">
        <v>76</v>
      </c>
      <c r="B12" s="15" t="s">
        <v>77</v>
      </c>
      <c r="C12" s="15" t="s">
        <v>61</v>
      </c>
    </row>
    <row r="13" customFormat="false" ht="15" hidden="false" customHeight="false" outlineLevel="0" collapsed="false">
      <c r="A13" s="15" t="s">
        <v>78</v>
      </c>
      <c r="B13" s="15" t="s">
        <v>79</v>
      </c>
      <c r="C13" s="15" t="s">
        <v>61</v>
      </c>
    </row>
    <row r="14" customFormat="false" ht="15" hidden="false" customHeight="false" outlineLevel="0" collapsed="false">
      <c r="A14" s="15" t="s">
        <v>80</v>
      </c>
      <c r="B14" s="15" t="s">
        <v>81</v>
      </c>
      <c r="C14" s="15" t="s">
        <v>61</v>
      </c>
    </row>
    <row r="15" customFormat="false" ht="15" hidden="false" customHeight="false" outlineLevel="0" collapsed="false">
      <c r="A15" s="15" t="s">
        <v>82</v>
      </c>
      <c r="B15" s="15" t="s">
        <v>83</v>
      </c>
      <c r="C15" s="15" t="s">
        <v>61</v>
      </c>
    </row>
    <row r="16" customFormat="false" ht="15" hidden="false" customHeight="false" outlineLevel="0" collapsed="false">
      <c r="A16" s="15" t="s">
        <v>84</v>
      </c>
      <c r="B16" s="15" t="s">
        <v>85</v>
      </c>
      <c r="C16" s="15" t="s">
        <v>61</v>
      </c>
    </row>
    <row r="17" customFormat="false" ht="15" hidden="false" customHeight="false" outlineLevel="0" collapsed="false">
      <c r="A17" s="15" t="s">
        <v>86</v>
      </c>
      <c r="B17" s="15" t="s">
        <v>87</v>
      </c>
      <c r="C17" s="15" t="s">
        <v>61</v>
      </c>
    </row>
    <row r="18" customFormat="false" ht="15" hidden="false" customHeight="false" outlineLevel="0" collapsed="false">
      <c r="A18" s="15" t="s">
        <v>88</v>
      </c>
      <c r="B18" s="15" t="s">
        <v>89</v>
      </c>
      <c r="C18" s="15" t="s">
        <v>61</v>
      </c>
    </row>
    <row r="19" customFormat="false" ht="15" hidden="false" customHeight="false" outlineLevel="0" collapsed="false">
      <c r="A19" s="15" t="s">
        <v>90</v>
      </c>
      <c r="B19" s="15" t="s">
        <v>91</v>
      </c>
      <c r="C19" s="15" t="s">
        <v>61</v>
      </c>
    </row>
    <row r="20" customFormat="false" ht="15" hidden="false" customHeight="false" outlineLevel="0" collapsed="false">
      <c r="A20" s="15" t="s">
        <v>92</v>
      </c>
      <c r="B20" s="15" t="s">
        <v>93</v>
      </c>
      <c r="C20" s="15" t="s">
        <v>61</v>
      </c>
    </row>
    <row r="21" customFormat="false" ht="15" hidden="false" customHeight="false" outlineLevel="0" collapsed="false">
      <c r="A21" s="15" t="s">
        <v>94</v>
      </c>
      <c r="B21" s="15" t="s">
        <v>91</v>
      </c>
      <c r="C21" s="15" t="s">
        <v>61</v>
      </c>
    </row>
    <row r="24" customFormat="false" ht="15" hidden="false" customHeight="false" outlineLevel="0" collapsed="false">
      <c r="A24"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2026-10-21T07:49:16Z</dcterms:created>
  <dc:creator>Farrel Christian</dc:creator>
  <dc:description/>
  <dc:language>en-US</dc:language>
  <cp:lastModifiedBy/>
  <dcterms:modified xsi:type="dcterms:W3CDTF">2026-10-21T14:49:17Z</dcterms:modified>
  <cp:revision>1</cp:revision>
  <dc:subject/>
  <dc:title>Eight-meeting study: EUR/USD on ECB decision days</dc:title>
</cp:coreProperties>
</file>

<file path=docProps/custom.xml><?xml version="1.0" encoding="utf-8"?>
<Properties xmlns="http://schemas.openxmlformats.org/officeDocument/2006/custom-properties" xmlns:vt="http://schemas.openxmlformats.org/officeDocument/2006/docPropsVTypes"/>
</file>