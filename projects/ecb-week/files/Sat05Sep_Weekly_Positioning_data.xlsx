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EUR" sheetId="1" state="visible" r:id="rId3"/>
    <sheet name="Net_EUR" sheetId="2" state="visible" r:id="rId4"/>
    <sheet name="Raw_Other_FX" sheetId="3" state="visible" r:id="rId5"/>
    <sheet name="FX_Context" sheetId="4" state="visible" r:id="rId6"/>
    <sheet name="Summar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<sst xmlns="http://schemas.openxmlformats.org/spreadsheetml/2006/main" count="165" uniqueCount="123">
  <si>
    <t xml:space="preserve">Raw CFTC data, euro FX futures, positions as of each Tuesday</t>
  </si>
  <si>
    <t xml:space="preserve">Source: CFTC Traders in Financial Futures, Futures Only, EURO FX - CHICAGO MERCANTILE EXCHANGE (code 099741, contract of EUR 125,000). https://publicreporting.cftc.gov/Commitments-of-Traders/Traders-in-Financial-Futures-Futures-Only/gpe5-46if . Accessed 19 Oct 2026. Data used: positions up to Tue 1 Sep 2026 (released Fri 4 Sep 2026).</t>
  </si>
  <si>
    <t xml:space="preserve">Blue = value copied from the CFTC file. Long and short are outright positions; spreading is excluded. Nonreportable entries for 16 Jun look unusual as published (both long and short more than doubled); they are not used in the report.</t>
  </si>
  <si>
    <t xml:space="preserve">Positions as of (Tuesday)</t>
  </si>
  <si>
    <t xml:space="preserve">Open interest</t>
  </si>
  <si>
    <t xml:space="preserve">Dealer long</t>
  </si>
  <si>
    <t xml:space="preserve">Dealer short</t>
  </si>
  <si>
    <t xml:space="preserve">Asset manager long</t>
  </si>
  <si>
    <t xml:space="preserve">Asset manager short</t>
  </si>
  <si>
    <t xml:space="preserve">Leveraged funds long</t>
  </si>
  <si>
    <t xml:space="preserve">Leveraged funds short</t>
  </si>
  <si>
    <t xml:space="preserve">Other reportable long</t>
  </si>
  <si>
    <t xml:space="preserve">Other reportable short</t>
  </si>
  <si>
    <t xml:space="preserve">Nonreportable long</t>
  </si>
  <si>
    <t xml:space="preserve">Nonreportable short</t>
  </si>
  <si>
    <t xml:space="preserve">Euro: net position by trader category, week on week change, net as % of open interest</t>
  </si>
  <si>
    <t xml:space="preserve">Source: CFTC, as on Raw_EUR. Accessed 19 Oct 2026. Data used: positions up to Tue 1 Sep 2026 (released Fri 4 Sep 2026).</t>
  </si>
  <si>
    <t xml:space="preserve">All cells are formulas on Raw_EUR. Net = long minus short. WoW = change from the previous Tuesday (the first row has no prior week in this file). Net % OI = net divided by open interest. Shaded: 1 Sep, the latest print.</t>
  </si>
  <si>
    <t xml:space="preserve">Leveraged funds net</t>
  </si>
  <si>
    <t xml:space="preserve">Leveraged funds net WoW</t>
  </si>
  <si>
    <t xml:space="preserve">Leveraged funds net % OI</t>
  </si>
  <si>
    <t xml:space="preserve">Asset manager net</t>
  </si>
  <si>
    <t xml:space="preserve">Asset manager net WoW</t>
  </si>
  <si>
    <t xml:space="preserve">Asset manager net % OI</t>
  </si>
  <si>
    <t xml:space="preserve">Dealer net</t>
  </si>
  <si>
    <t xml:space="preserve">Dealer net WoW</t>
  </si>
  <si>
    <t xml:space="preserve">Dealer net % OI</t>
  </si>
  <si>
    <t xml:space="preserve">Other reportable net</t>
  </si>
  <si>
    <t xml:space="preserve">Other reportable net WoW</t>
  </si>
  <si>
    <t xml:space="preserve">Other reportable net % OI</t>
  </si>
  <si>
    <t xml:space="preserve">Nonreportable net</t>
  </si>
  <si>
    <t xml:space="preserve">Nonreportable net WoW</t>
  </si>
  <si>
    <t xml:space="preserve">Nonreportable net % OI</t>
  </si>
  <si>
    <t xml:space="preserve">n/a</t>
  </si>
  <si>
    <t xml:space="preserve">Raw CFTC data, other currency futures, leveraged funds, positions as of Tue 25 Aug and Tue 1 Sep 2026</t>
  </si>
  <si>
    <t xml:space="preserve">Source: CFTC Traders in Financial Futures, Futures Only, CME contracts. https://publicreporting.cftc.gov/Commitments-of-Traders/Traders-in-Financial-Futures-Futures-Only/gpe5-46if . Accessed 19 Oct 2026. Data used: positions up to Tue 1 Sep 2026 (released Fri 4 Sep 2026).</t>
  </si>
  <si>
    <t xml:space="preserve">Blue = value copied from the CFTC file. Contract sizes differ by currency, so compare currencies on net % of open interest, not on contract counts.</t>
  </si>
  <si>
    <t xml:space="preserve">Currency</t>
  </si>
  <si>
    <t xml:space="preserve">Code</t>
  </si>
  <si>
    <t xml:space="preserve">CFTC market code</t>
  </si>
  <si>
    <t xml:space="preserve">Contract size</t>
  </si>
  <si>
    <t xml:space="preserve">British pound</t>
  </si>
  <si>
    <t xml:space="preserve">GBP</t>
  </si>
  <si>
    <t xml:space="preserve">096742</t>
  </si>
  <si>
    <t xml:space="preserve">GBP 62,500</t>
  </si>
  <si>
    <t xml:space="preserve">Japanese yen</t>
  </si>
  <si>
    <t xml:space="preserve">JPY</t>
  </si>
  <si>
    <t xml:space="preserve">097741</t>
  </si>
  <si>
    <t xml:space="preserve">JPY 12,500,000</t>
  </si>
  <si>
    <t xml:space="preserve">Swiss franc</t>
  </si>
  <si>
    <t xml:space="preserve">CHF</t>
  </si>
  <si>
    <t xml:space="preserve">092741</t>
  </si>
  <si>
    <t xml:space="preserve">CHF 125,000</t>
  </si>
  <si>
    <t xml:space="preserve">Canadian dollar</t>
  </si>
  <si>
    <t xml:space="preserve">CAD</t>
  </si>
  <si>
    <t xml:space="preserve">090741</t>
  </si>
  <si>
    <t xml:space="preserve">CAD 100,000</t>
  </si>
  <si>
    <t xml:space="preserve">Australian dollar</t>
  </si>
  <si>
    <t xml:space="preserve">AUD</t>
  </si>
  <si>
    <t xml:space="preserve">232741</t>
  </si>
  <si>
    <t xml:space="preserve">AUD 100,000</t>
  </si>
  <si>
    <t xml:space="preserve">New Zealand dollar</t>
  </si>
  <si>
    <t xml:space="preserve">NZD</t>
  </si>
  <si>
    <t xml:space="preserve">112741</t>
  </si>
  <si>
    <t xml:space="preserve">NZD 100,000</t>
  </si>
  <si>
    <t xml:space="preserve">Leveraged funds net position, major currencies, 1 Sep 2026 with week on week change</t>
  </si>
  <si>
    <t xml:space="preserve">Source: CFTC, as on Raw_EUR and Raw_Other_FX. Accessed 19 Oct 2026. Data used: positions up to Tue 1 Sep 2026 (released Fri 4 Sep 2026).</t>
  </si>
  <si>
    <t xml:space="preserve">All cells are formulas. Net = long minus short. WoW = 1 Sep net minus 25 Aug net. Net % OI = net divided by open interest.</t>
  </si>
  <si>
    <t xml:space="preserve">Leveraged funds long, 1 Sep</t>
  </si>
  <si>
    <t xml:space="preserve">Leveraged funds short, 1 Sep</t>
  </si>
  <si>
    <t xml:space="preserve">Net, 1 Sep</t>
  </si>
  <si>
    <t xml:space="preserve">Net, 25 Aug</t>
  </si>
  <si>
    <t xml:space="preserve">Net WoW</t>
  </si>
  <si>
    <t xml:space="preserve">Open interest, 1 Sep</t>
  </si>
  <si>
    <t xml:space="preserve">Net % OI, 1 Sep</t>
  </si>
  <si>
    <t xml:space="preserve">Net % OI, 25 Aug</t>
  </si>
  <si>
    <t xml:space="preserve">Euro (EUR)</t>
  </si>
  <si>
    <t xml:space="preserve">British pound (GBP)</t>
  </si>
  <si>
    <t xml:space="preserve">Japanese yen (JPY)</t>
  </si>
  <si>
    <t xml:space="preserve">Swiss franc (CHF)</t>
  </si>
  <si>
    <t xml:space="preserve">Canadian dollar (CAD)</t>
  </si>
  <si>
    <t xml:space="preserve">Australian dollar (AUD)</t>
  </si>
  <si>
    <t xml:space="preserve">New Zealand dollar (NZD)</t>
  </si>
  <si>
    <t xml:space="preserve">Summary: euro leveraged funds going into the ECB decision of Thu 10 Sep 2026</t>
  </si>
  <si>
    <t xml:space="preserve">All cells are formulas on Net_EUR and Raw_EUR.</t>
  </si>
  <si>
    <t xml:space="preserve">Leveraged funds, euro FX</t>
  </si>
  <si>
    <t xml:space="preserve">25 Aug 2026</t>
  </si>
  <si>
    <t xml:space="preserve">1 Sep 2026</t>
  </si>
  <si>
    <t xml:space="preserve">Change</t>
  </si>
  <si>
    <t xml:space="preserve">Long contracts</t>
  </si>
  <si>
    <t xml:space="preserve">Short contracts</t>
  </si>
  <si>
    <t xml:space="preserve">Net position</t>
  </si>
  <si>
    <t xml:space="preserve">Net % of open interest</t>
  </si>
  <si>
    <t xml:space="preserve">Net position by category, 1 Sep</t>
  </si>
  <si>
    <t xml:space="preserve">Category</t>
  </si>
  <si>
    <t xml:space="preserve">Leveraged funds</t>
  </si>
  <si>
    <t xml:space="preserve">Asset manager</t>
  </si>
  <si>
    <t xml:space="preserve">Dealer</t>
  </si>
  <si>
    <t xml:space="preserve">Other reportable</t>
  </si>
  <si>
    <t xml:space="preserve">Nonreportable</t>
  </si>
  <si>
    <t xml:space="preserve">Leveraged funds net position, 13 weeks 9 Jun to 1 Sep 2026 (the chart window)</t>
  </si>
  <si>
    <t xml:space="preserve">Lowest</t>
  </si>
  <si>
    <t xml:space="preserve">Highest</t>
  </si>
  <si>
    <t xml:space="preserve">Average</t>
  </si>
  <si>
    <t xml:space="preserve">Net now versus the low</t>
  </si>
  <si>
    <t xml:space="preserve">Notes</t>
  </si>
  <si>
    <t xml:space="preserve">Category: Leveraged Funds in the CFTC Traders in Financial Futures report. Asset managers, dealers, other reportables and nonreportables are shown for context.</t>
  </si>
  <si>
    <t xml:space="preserve">Net is long minus short outright positions and excludes spreading.</t>
  </si>
  <si>
    <t xml:space="preserve">Positions are as of Tuesday 1 Sep and were released Friday 4 Sep, so they lag. Nothing dated after 4 Sep is used.</t>
  </si>
  <si>
    <t xml:space="preserve">Contract: EURO FX, CME, EUR 125,000 per contract, Futures Only.</t>
  </si>
  <si>
    <t xml:space="preserve">Sources</t>
  </si>
  <si>
    <t xml:space="preserve">Source dates: CFTC positions as of Tue 1 Sep 2026, released Fri 4 Sep 2026. Accessed 19 Oct 2026.</t>
  </si>
  <si>
    <t xml:space="preserve">Source</t>
  </si>
  <si>
    <t xml:space="preserve">URL</t>
  </si>
  <si>
    <t xml:space="preserve">Accessed</t>
  </si>
  <si>
    <t xml:space="preserve">CFTC Traders in Financial Futures, Futures Only (Public Reporting Environment dataset gpe5-46if): EURO FX 099741; British pound 096742; Japanese yen 097741; Swiss franc 092741; Canadian dollar 090741; Australian dollar 232741; New Zealand dollar 112741</t>
  </si>
  <si>
    <t xml:space="preserve">https://publicreporting.cftc.gov/Commitments-of-Traders/Traders-in-Financial-Futures-Futures-Only/gpe5-46if</t>
  </si>
  <si>
    <t xml:space="preserve">19 Oct 2026</t>
  </si>
  <si>
    <t xml:space="preserve">CFTC Commitments of Traders, report definitions and trader categories</t>
  </si>
  <si>
    <t xml:space="preserve">https://www.cftc.gov/MarketReports/CommitmentsofTraders/index.htm</t>
  </si>
  <si>
    <t xml:space="preserve">ECB press release of 11 Jun 2026, monetary policy decisions (date of the June hike marked on the chart)</t>
  </si>
  <si>
    <t xml:space="preserve">https://www.ecb.europa.eu/press/pr/date/2026/html/ecb.mp260611~4d41bd5e83.en.html</t>
  </si>
  <si>
    <t xml:space="preserve">Independent portfolio project built from public data. Not investment advice.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</si>
</sst>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#,##0;\-#,##0;0"/>
    <numFmt numFmtId="167" formatCode="0.0%;\-0.0%;0.0%"/>
    <numFmt numFmtId="168" formatCode="0.00%;\-0.00%;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9488"/>
        <bgColor rgb="FF008080"/>
      </patternFill>
    </fill>
    <fill>
      <patternFill patternType="solid">
        <fgColor rgb="FFD7F5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488"/>
      <rgbColor rgb="FFC0C0C0"/>
      <rgbColor rgb="FF808080"/>
      <rgbColor rgb="FF9999FF"/>
      <rgbColor rgb="FF993366"/>
      <rgbColor rgb="FFFFFFCC"/>
      <rgbColor rgb="FFD7F5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2" min="2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42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</row>
    <row r="5" customFormat="false" ht="15" hidden="false" customHeight="false" outlineLevel="0" collapsed="false">
      <c r="A5" s="4" t="n">
        <v>46175</v>
      </c>
      <c r="B5" s="5" t="n">
        <v>842424</v>
      </c>
      <c r="C5" s="5" t="n">
        <v>45480</v>
      </c>
      <c r="D5" s="5" t="n">
        <v>374951</v>
      </c>
      <c r="E5" s="5" t="n">
        <v>454078</v>
      </c>
      <c r="F5" s="5" t="n">
        <v>168157</v>
      </c>
      <c r="G5" s="5" t="n">
        <v>109583</v>
      </c>
      <c r="H5" s="5" t="n">
        <v>97556</v>
      </c>
      <c r="I5" s="5" t="n">
        <v>25388</v>
      </c>
      <c r="J5" s="5" t="n">
        <v>14395</v>
      </c>
      <c r="K5" s="5" t="n">
        <v>86539</v>
      </c>
      <c r="L5" s="5" t="n">
        <v>66009</v>
      </c>
    </row>
    <row r="6" customFormat="false" ht="15" hidden="false" customHeight="false" outlineLevel="0" collapsed="false">
      <c r="A6" s="4" t="n">
        <v>46182</v>
      </c>
      <c r="B6" s="5" t="n">
        <v>871507</v>
      </c>
      <c r="C6" s="5" t="n">
        <v>67752</v>
      </c>
      <c r="D6" s="5" t="n">
        <v>367097</v>
      </c>
      <c r="E6" s="5" t="n">
        <v>462310</v>
      </c>
      <c r="F6" s="5" t="n">
        <v>180754</v>
      </c>
      <c r="G6" s="5" t="n">
        <v>91856</v>
      </c>
      <c r="H6" s="5" t="n">
        <v>109244</v>
      </c>
      <c r="I6" s="5" t="n">
        <v>25497</v>
      </c>
      <c r="J6" s="5" t="n">
        <v>14473</v>
      </c>
      <c r="K6" s="5" t="n">
        <v>90399</v>
      </c>
      <c r="L6" s="5" t="n">
        <v>66246</v>
      </c>
    </row>
    <row r="7" customFormat="false" ht="15" hidden="false" customHeight="false" outlineLevel="0" collapsed="false">
      <c r="A7" s="4" t="n">
        <v>46189</v>
      </c>
      <c r="B7" s="5" t="n">
        <v>894671</v>
      </c>
      <c r="C7" s="5" t="n">
        <v>32449</v>
      </c>
      <c r="D7" s="5" t="n">
        <v>331417</v>
      </c>
      <c r="E7" s="5" t="n">
        <v>460022</v>
      </c>
      <c r="F7" s="5" t="n">
        <v>189678</v>
      </c>
      <c r="G7" s="5" t="n">
        <v>94228</v>
      </c>
      <c r="H7" s="5" t="n">
        <v>103154</v>
      </c>
      <c r="I7" s="5" t="n">
        <v>23796</v>
      </c>
      <c r="J7" s="5" t="n">
        <v>13782</v>
      </c>
      <c r="K7" s="5" t="n">
        <v>214087</v>
      </c>
      <c r="L7" s="5" t="n">
        <v>186551</v>
      </c>
    </row>
    <row r="8" customFormat="false" ht="15" hidden="false" customHeight="false" outlineLevel="0" collapsed="false">
      <c r="A8" s="4" t="n">
        <v>46196</v>
      </c>
      <c r="B8" s="5" t="n">
        <v>785477</v>
      </c>
      <c r="C8" s="5" t="n">
        <v>36965</v>
      </c>
      <c r="D8" s="5" t="n">
        <v>312295</v>
      </c>
      <c r="E8" s="5" t="n">
        <v>462293</v>
      </c>
      <c r="F8" s="5" t="n">
        <v>207563</v>
      </c>
      <c r="G8" s="5" t="n">
        <v>108150</v>
      </c>
      <c r="H8" s="5" t="n">
        <v>123560</v>
      </c>
      <c r="I8" s="5" t="n">
        <v>22501</v>
      </c>
      <c r="J8" s="5" t="n">
        <v>13516</v>
      </c>
      <c r="K8" s="5" t="n">
        <v>81337</v>
      </c>
      <c r="L8" s="5" t="n">
        <v>54312</v>
      </c>
    </row>
    <row r="9" customFormat="false" ht="15" hidden="false" customHeight="false" outlineLevel="0" collapsed="false">
      <c r="A9" s="4" t="n">
        <v>46203</v>
      </c>
      <c r="B9" s="5" t="n">
        <v>790076</v>
      </c>
      <c r="C9" s="5" t="n">
        <v>39903</v>
      </c>
      <c r="D9" s="5" t="n">
        <v>293368</v>
      </c>
      <c r="E9" s="5" t="n">
        <v>470602</v>
      </c>
      <c r="F9" s="5" t="n">
        <v>215444</v>
      </c>
      <c r="G9" s="5" t="n">
        <v>102267</v>
      </c>
      <c r="H9" s="5" t="n">
        <v>134911</v>
      </c>
      <c r="I9" s="5" t="n">
        <v>20919</v>
      </c>
      <c r="J9" s="5" t="n">
        <v>13548</v>
      </c>
      <c r="K9" s="5" t="n">
        <v>80468</v>
      </c>
      <c r="L9" s="5" t="n">
        <v>56888</v>
      </c>
    </row>
    <row r="10" customFormat="false" ht="15" hidden="false" customHeight="false" outlineLevel="0" collapsed="false">
      <c r="A10" s="4" t="n">
        <v>46210</v>
      </c>
      <c r="B10" s="5" t="n">
        <v>794833</v>
      </c>
      <c r="C10" s="5" t="n">
        <v>43012</v>
      </c>
      <c r="D10" s="5" t="n">
        <v>289135</v>
      </c>
      <c r="E10" s="5" t="n">
        <v>478070</v>
      </c>
      <c r="F10" s="5" t="n">
        <v>224152</v>
      </c>
      <c r="G10" s="5" t="n">
        <v>87460</v>
      </c>
      <c r="H10" s="5" t="n">
        <v>132921</v>
      </c>
      <c r="I10" s="5" t="n">
        <v>22853</v>
      </c>
      <c r="J10" s="5" t="n">
        <v>11438</v>
      </c>
      <c r="K10" s="5" t="n">
        <v>83533</v>
      </c>
      <c r="L10" s="5" t="n">
        <v>57282</v>
      </c>
    </row>
    <row r="11" customFormat="false" ht="15" hidden="false" customHeight="false" outlineLevel="0" collapsed="false">
      <c r="A11" s="4" t="n">
        <v>46217</v>
      </c>
      <c r="B11" s="5" t="n">
        <v>799495</v>
      </c>
      <c r="C11" s="5" t="n">
        <v>45006</v>
      </c>
      <c r="D11" s="5" t="n">
        <v>277174</v>
      </c>
      <c r="E11" s="5" t="n">
        <v>466709</v>
      </c>
      <c r="F11" s="5" t="n">
        <v>219393</v>
      </c>
      <c r="G11" s="5" t="n">
        <v>89976</v>
      </c>
      <c r="H11" s="5" t="n">
        <v>143667</v>
      </c>
      <c r="I11" s="5" t="n">
        <v>23465</v>
      </c>
      <c r="J11" s="5" t="n">
        <v>10917</v>
      </c>
      <c r="K11" s="5" t="n">
        <v>82849</v>
      </c>
      <c r="L11" s="5" t="n">
        <v>56854</v>
      </c>
    </row>
    <row r="12" customFormat="false" ht="15" hidden="false" customHeight="false" outlineLevel="0" collapsed="false">
      <c r="A12" s="4" t="n">
        <v>46224</v>
      </c>
      <c r="B12" s="5" t="n">
        <v>800061</v>
      </c>
      <c r="C12" s="5" t="n">
        <v>51686</v>
      </c>
      <c r="D12" s="5" t="n">
        <v>259905</v>
      </c>
      <c r="E12" s="5" t="n">
        <v>458394</v>
      </c>
      <c r="F12" s="5" t="n">
        <v>229467</v>
      </c>
      <c r="G12" s="5" t="n">
        <v>91110</v>
      </c>
      <c r="H12" s="5" t="n">
        <v>147781</v>
      </c>
      <c r="I12" s="5" t="n">
        <v>23901</v>
      </c>
      <c r="J12" s="5" t="n">
        <v>11301</v>
      </c>
      <c r="K12" s="5" t="n">
        <v>80473</v>
      </c>
      <c r="L12" s="5" t="n">
        <v>57110</v>
      </c>
    </row>
    <row r="13" customFormat="false" ht="15" hidden="false" customHeight="false" outlineLevel="0" collapsed="false">
      <c r="A13" s="4" t="n">
        <v>46231</v>
      </c>
      <c r="B13" s="5" t="n">
        <v>819806</v>
      </c>
      <c r="C13" s="5" t="n">
        <v>76674</v>
      </c>
      <c r="D13" s="5" t="n">
        <v>252190</v>
      </c>
      <c r="E13" s="5" t="n">
        <v>449191</v>
      </c>
      <c r="F13" s="5" t="n">
        <v>239865</v>
      </c>
      <c r="G13" s="5" t="n">
        <v>92672</v>
      </c>
      <c r="H13" s="5" t="n">
        <v>157870</v>
      </c>
      <c r="I13" s="5" t="n">
        <v>23041</v>
      </c>
      <c r="J13" s="5" t="n">
        <v>12386</v>
      </c>
      <c r="K13" s="5" t="n">
        <v>78549</v>
      </c>
      <c r="L13" s="5" t="n">
        <v>57816</v>
      </c>
    </row>
    <row r="14" customFormat="false" ht="15" hidden="false" customHeight="false" outlineLevel="0" collapsed="false">
      <c r="A14" s="4" t="n">
        <v>46238</v>
      </c>
      <c r="B14" s="5" t="n">
        <v>799909</v>
      </c>
      <c r="C14" s="5" t="n">
        <v>51250</v>
      </c>
      <c r="D14" s="5" t="n">
        <v>255728</v>
      </c>
      <c r="E14" s="5" t="n">
        <v>445903</v>
      </c>
      <c r="F14" s="5" t="n">
        <v>226641</v>
      </c>
      <c r="G14" s="5" t="n">
        <v>95389</v>
      </c>
      <c r="H14" s="5" t="n">
        <v>147594</v>
      </c>
      <c r="I14" s="5" t="n">
        <v>22715</v>
      </c>
      <c r="J14" s="5" t="n">
        <v>11923</v>
      </c>
      <c r="K14" s="5" t="n">
        <v>80953</v>
      </c>
      <c r="L14" s="5" t="n">
        <v>54324</v>
      </c>
    </row>
    <row r="15" customFormat="false" ht="15" hidden="false" customHeight="false" outlineLevel="0" collapsed="false">
      <c r="A15" s="4" t="n">
        <v>46245</v>
      </c>
      <c r="B15" s="5" t="n">
        <v>801884</v>
      </c>
      <c r="C15" s="5" t="n">
        <v>53721</v>
      </c>
      <c r="D15" s="5" t="n">
        <v>259757</v>
      </c>
      <c r="E15" s="5" t="n">
        <v>450831</v>
      </c>
      <c r="F15" s="5" t="n">
        <v>225442</v>
      </c>
      <c r="G15" s="5" t="n">
        <v>86753</v>
      </c>
      <c r="H15" s="5" t="n">
        <v>147353</v>
      </c>
      <c r="I15" s="5" t="n">
        <v>23277</v>
      </c>
      <c r="J15" s="5" t="n">
        <v>12837</v>
      </c>
      <c r="K15" s="5" t="n">
        <v>82886</v>
      </c>
      <c r="L15" s="5" t="n">
        <v>52079</v>
      </c>
    </row>
    <row r="16" customFormat="false" ht="15" hidden="false" customHeight="false" outlineLevel="0" collapsed="false">
      <c r="A16" s="4" t="n">
        <v>46252</v>
      </c>
      <c r="B16" s="5" t="n">
        <v>804940</v>
      </c>
      <c r="C16" s="5" t="n">
        <v>53199</v>
      </c>
      <c r="D16" s="5" t="n">
        <v>277471</v>
      </c>
      <c r="E16" s="5" t="n">
        <v>451575</v>
      </c>
      <c r="F16" s="5" t="n">
        <v>214149</v>
      </c>
      <c r="G16" s="5" t="n">
        <v>90140</v>
      </c>
      <c r="H16" s="5" t="n">
        <v>147856</v>
      </c>
      <c r="I16" s="5" t="n">
        <v>24290</v>
      </c>
      <c r="J16" s="5" t="n">
        <v>14761</v>
      </c>
      <c r="K16" s="5" t="n">
        <v>86443</v>
      </c>
      <c r="L16" s="5" t="n">
        <v>51410</v>
      </c>
    </row>
    <row r="17" customFormat="false" ht="15" hidden="false" customHeight="false" outlineLevel="0" collapsed="false">
      <c r="A17" s="4" t="n">
        <v>46259</v>
      </c>
      <c r="B17" s="5" t="n">
        <v>818524</v>
      </c>
      <c r="C17" s="5" t="n">
        <v>52864</v>
      </c>
      <c r="D17" s="5" t="n">
        <v>321445</v>
      </c>
      <c r="E17" s="5" t="n">
        <v>461805</v>
      </c>
      <c r="F17" s="5" t="n">
        <v>200379</v>
      </c>
      <c r="G17" s="5" t="n">
        <v>90921</v>
      </c>
      <c r="H17" s="5" t="n">
        <v>129280</v>
      </c>
      <c r="I17" s="5" t="n">
        <v>23899</v>
      </c>
      <c r="J17" s="5" t="n">
        <v>14297</v>
      </c>
      <c r="K17" s="5" t="n">
        <v>86807</v>
      </c>
      <c r="L17" s="5" t="n">
        <v>50895</v>
      </c>
    </row>
    <row r="18" customFormat="false" ht="15" hidden="false" customHeight="false" outlineLevel="0" collapsed="false">
      <c r="A18" s="4" t="n">
        <v>46266</v>
      </c>
      <c r="B18" s="5" t="n">
        <v>865412</v>
      </c>
      <c r="C18" s="5" t="n">
        <v>54643</v>
      </c>
      <c r="D18" s="5" t="n">
        <v>322221</v>
      </c>
      <c r="E18" s="5" t="n">
        <v>468254</v>
      </c>
      <c r="F18" s="5" t="n">
        <v>205001</v>
      </c>
      <c r="G18" s="5" t="n">
        <v>96137</v>
      </c>
      <c r="H18" s="5" t="n">
        <v>134310</v>
      </c>
      <c r="I18" s="5" t="n">
        <v>23850</v>
      </c>
      <c r="J18" s="5" t="n">
        <v>15004</v>
      </c>
      <c r="K18" s="5" t="n">
        <v>85670</v>
      </c>
      <c r="L18" s="5" t="n">
        <v>52018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7" min="2" style="0" width="14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2" t="s">
        <v>17</v>
      </c>
    </row>
    <row r="4" customFormat="false" ht="42" hidden="false" customHeight="true" outlineLevel="0" collapsed="false">
      <c r="A4" s="3" t="s">
        <v>3</v>
      </c>
      <c r="B4" s="3" t="s">
        <v>4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</row>
    <row r="5" customFormat="false" ht="15" hidden="false" customHeight="false" outlineLevel="0" collapsed="false">
      <c r="A5" s="6" t="n">
        <f aca="false">Raw_EUR!A5</f>
        <v>46175</v>
      </c>
      <c r="B5" s="7" t="n">
        <f aca="false">Raw_EUR!B5</f>
        <v>842424</v>
      </c>
      <c r="C5" s="7" t="n">
        <f aca="false">Raw_EUR!G5-Raw_EUR!H5</f>
        <v>12027</v>
      </c>
      <c r="D5" s="7" t="s">
        <v>33</v>
      </c>
      <c r="E5" s="8" t="n">
        <f aca="false">C5/B5</f>
        <v>0.01427665878465</v>
      </c>
      <c r="F5" s="7" t="n">
        <f aca="false">Raw_EUR!E5-Raw_EUR!F5</f>
        <v>285921</v>
      </c>
      <c r="G5" s="7" t="s">
        <v>33</v>
      </c>
      <c r="H5" s="8" t="n">
        <f aca="false">F5/B5</f>
        <v>0.339402723569129</v>
      </c>
      <c r="I5" s="7" t="n">
        <f aca="false">Raw_EUR!C5-Raw_EUR!D5</f>
        <v>-329471</v>
      </c>
      <c r="J5" s="7" t="s">
        <v>33</v>
      </c>
      <c r="K5" s="8" t="n">
        <f aca="false">I5/B5</f>
        <v>-0.39109878161116</v>
      </c>
      <c r="L5" s="7" t="n">
        <f aca="false">Raw_EUR!I5-Raw_EUR!J5</f>
        <v>10993</v>
      </c>
      <c r="M5" s="7" t="s">
        <v>33</v>
      </c>
      <c r="N5" s="8" t="n">
        <f aca="false">L5/B5</f>
        <v>0.0130492483594959</v>
      </c>
      <c r="O5" s="7" t="n">
        <f aca="false">Raw_EUR!K5-Raw_EUR!L5</f>
        <v>20530</v>
      </c>
      <c r="P5" s="7" t="s">
        <v>33</v>
      </c>
      <c r="Q5" s="8" t="n">
        <f aca="false">O5/B5</f>
        <v>0.0243701508978852</v>
      </c>
    </row>
    <row r="6" customFormat="false" ht="15" hidden="false" customHeight="false" outlineLevel="0" collapsed="false">
      <c r="A6" s="6" t="n">
        <f aca="false">Raw_EUR!A6</f>
        <v>46182</v>
      </c>
      <c r="B6" s="7" t="n">
        <f aca="false">Raw_EUR!B6</f>
        <v>871507</v>
      </c>
      <c r="C6" s="7" t="n">
        <f aca="false">Raw_EUR!G6-Raw_EUR!H6</f>
        <v>-17388</v>
      </c>
      <c r="D6" s="7" t="n">
        <f aca="false">C6-C5</f>
        <v>-29415</v>
      </c>
      <c r="E6" s="8" t="n">
        <f aca="false">C6/B6</f>
        <v>-0.0199516469747231</v>
      </c>
      <c r="F6" s="7" t="n">
        <f aca="false">Raw_EUR!E6-Raw_EUR!F6</f>
        <v>281556</v>
      </c>
      <c r="G6" s="7" t="n">
        <f aca="false">F6-F5</f>
        <v>-4365</v>
      </c>
      <c r="H6" s="8" t="n">
        <f aca="false">F6/B6</f>
        <v>0.323067973062752</v>
      </c>
      <c r="I6" s="7" t="n">
        <f aca="false">Raw_EUR!C6-Raw_EUR!D6</f>
        <v>-299345</v>
      </c>
      <c r="J6" s="7" t="n">
        <f aca="false">I6-I5</f>
        <v>30126</v>
      </c>
      <c r="K6" s="8" t="n">
        <f aca="false">I6/B6</f>
        <v>-0.343479742560874</v>
      </c>
      <c r="L6" s="7" t="n">
        <f aca="false">Raw_EUR!I6-Raw_EUR!J6</f>
        <v>11024</v>
      </c>
      <c r="M6" s="7" t="n">
        <f aca="false">L6-L5</f>
        <v>31</v>
      </c>
      <c r="N6" s="8" t="n">
        <f aca="false">L6/B6</f>
        <v>0.0126493533614762</v>
      </c>
      <c r="O6" s="7" t="n">
        <f aca="false">Raw_EUR!K6-Raw_EUR!L6</f>
        <v>24153</v>
      </c>
      <c r="P6" s="7" t="n">
        <f aca="false">O6-O5</f>
        <v>3623</v>
      </c>
      <c r="Q6" s="8" t="n">
        <f aca="false">O6/B6</f>
        <v>0.0277140631113692</v>
      </c>
    </row>
    <row r="7" customFormat="false" ht="15" hidden="false" customHeight="false" outlineLevel="0" collapsed="false">
      <c r="A7" s="6" t="n">
        <f aca="false">Raw_EUR!A7</f>
        <v>46189</v>
      </c>
      <c r="B7" s="7" t="n">
        <f aca="false">Raw_EUR!B7</f>
        <v>894671</v>
      </c>
      <c r="C7" s="7" t="n">
        <f aca="false">Raw_EUR!G7-Raw_EUR!H7</f>
        <v>-8926</v>
      </c>
      <c r="D7" s="7" t="n">
        <f aca="false">C7-C6</f>
        <v>8462</v>
      </c>
      <c r="E7" s="8" t="n">
        <f aca="false">C7/B7</f>
        <v>-0.00997685182597849</v>
      </c>
      <c r="F7" s="7" t="n">
        <f aca="false">Raw_EUR!E7-Raw_EUR!F7</f>
        <v>270344</v>
      </c>
      <c r="G7" s="7" t="n">
        <f aca="false">F7-F6</f>
        <v>-11212</v>
      </c>
      <c r="H7" s="8" t="n">
        <f aca="false">F7/B7</f>
        <v>0.302171412731607</v>
      </c>
      <c r="I7" s="7" t="n">
        <f aca="false">Raw_EUR!C7-Raw_EUR!D7</f>
        <v>-298968</v>
      </c>
      <c r="J7" s="7" t="n">
        <f aca="false">I7-I6</f>
        <v>377</v>
      </c>
      <c r="K7" s="8" t="n">
        <f aca="false">I7/B7</f>
        <v>-0.33416529651682</v>
      </c>
      <c r="L7" s="7" t="n">
        <f aca="false">Raw_EUR!I7-Raw_EUR!J7</f>
        <v>10014</v>
      </c>
      <c r="M7" s="7" t="n">
        <f aca="false">L7-L6</f>
        <v>-1010</v>
      </c>
      <c r="N7" s="8" t="n">
        <f aca="false">L7/B7</f>
        <v>0.011192941315858</v>
      </c>
      <c r="O7" s="7" t="n">
        <f aca="false">Raw_EUR!K7-Raw_EUR!L7</f>
        <v>27536</v>
      </c>
      <c r="P7" s="7" t="n">
        <f aca="false">O7-O6</f>
        <v>3383</v>
      </c>
      <c r="Q7" s="8" t="n">
        <f aca="false">O7/B7</f>
        <v>0.0307777942953331</v>
      </c>
    </row>
    <row r="8" customFormat="false" ht="15" hidden="false" customHeight="false" outlineLevel="0" collapsed="false">
      <c r="A8" s="6" t="n">
        <f aca="false">Raw_EUR!A8</f>
        <v>46196</v>
      </c>
      <c r="B8" s="7" t="n">
        <f aca="false">Raw_EUR!B8</f>
        <v>785477</v>
      </c>
      <c r="C8" s="7" t="n">
        <f aca="false">Raw_EUR!G8-Raw_EUR!H8</f>
        <v>-15410</v>
      </c>
      <c r="D8" s="7" t="n">
        <f aca="false">C8-C7</f>
        <v>-6484</v>
      </c>
      <c r="E8" s="8" t="n">
        <f aca="false">C8/B8</f>
        <v>-0.0196186521056632</v>
      </c>
      <c r="F8" s="7" t="n">
        <f aca="false">Raw_EUR!E8-Raw_EUR!F8</f>
        <v>254730</v>
      </c>
      <c r="G8" s="7" t="n">
        <f aca="false">F8-F7</f>
        <v>-15614</v>
      </c>
      <c r="H8" s="8" t="n">
        <f aca="false">F8/B8</f>
        <v>0.324299756708344</v>
      </c>
      <c r="I8" s="7" t="n">
        <f aca="false">Raw_EUR!C8-Raw_EUR!D8</f>
        <v>-275330</v>
      </c>
      <c r="J8" s="7" t="n">
        <f aca="false">I8-I7</f>
        <v>23638</v>
      </c>
      <c r="K8" s="8" t="n">
        <f aca="false">I8/B8</f>
        <v>-0.35052585880936</v>
      </c>
      <c r="L8" s="7" t="n">
        <f aca="false">Raw_EUR!I8-Raw_EUR!J8</f>
        <v>8985</v>
      </c>
      <c r="M8" s="7" t="n">
        <f aca="false">L8-L7</f>
        <v>-1029</v>
      </c>
      <c r="N8" s="8" t="n">
        <f aca="false">L8/B8</f>
        <v>0.0114389090960015</v>
      </c>
      <c r="O8" s="7" t="n">
        <f aca="false">Raw_EUR!K8-Raw_EUR!L8</f>
        <v>27025</v>
      </c>
      <c r="P8" s="7" t="n">
        <f aca="false">O8-O7</f>
        <v>-511</v>
      </c>
      <c r="Q8" s="8" t="n">
        <f aca="false">O8/B8</f>
        <v>0.034405845110678</v>
      </c>
    </row>
    <row r="9" customFormat="false" ht="15" hidden="false" customHeight="false" outlineLevel="0" collapsed="false">
      <c r="A9" s="6" t="n">
        <f aca="false">Raw_EUR!A9</f>
        <v>46203</v>
      </c>
      <c r="B9" s="7" t="n">
        <f aca="false">Raw_EUR!B9</f>
        <v>790076</v>
      </c>
      <c r="C9" s="7" t="n">
        <f aca="false">Raw_EUR!G9-Raw_EUR!H9</f>
        <v>-32644</v>
      </c>
      <c r="D9" s="7" t="n">
        <f aca="false">C9-C8</f>
        <v>-17234</v>
      </c>
      <c r="E9" s="8" t="n">
        <f aca="false">C9/B9</f>
        <v>-0.0413175441349946</v>
      </c>
      <c r="F9" s="7" t="n">
        <f aca="false">Raw_EUR!E9-Raw_EUR!F9</f>
        <v>255158</v>
      </c>
      <c r="G9" s="7" t="n">
        <f aca="false">F9-F8</f>
        <v>428</v>
      </c>
      <c r="H9" s="8" t="n">
        <f aca="false">F9/B9</f>
        <v>0.322953741159078</v>
      </c>
      <c r="I9" s="7" t="n">
        <f aca="false">Raw_EUR!C9-Raw_EUR!D9</f>
        <v>-253465</v>
      </c>
      <c r="J9" s="7" t="n">
        <f aca="false">I9-I8</f>
        <v>21865</v>
      </c>
      <c r="K9" s="8" t="n">
        <f aca="false">I9/B9</f>
        <v>-0.320810909330242</v>
      </c>
      <c r="L9" s="7" t="n">
        <f aca="false">Raw_EUR!I9-Raw_EUR!J9</f>
        <v>7371</v>
      </c>
      <c r="M9" s="7" t="n">
        <f aca="false">L9-L8</f>
        <v>-1614</v>
      </c>
      <c r="N9" s="8" t="n">
        <f aca="false">L9/B9</f>
        <v>0.00932948222702626</v>
      </c>
      <c r="O9" s="7" t="n">
        <f aca="false">Raw_EUR!K9-Raw_EUR!L9</f>
        <v>23580</v>
      </c>
      <c r="P9" s="7" t="n">
        <f aca="false">O9-O8</f>
        <v>-3445</v>
      </c>
      <c r="Q9" s="8" t="n">
        <f aca="false">O9/B9</f>
        <v>0.0298452300791316</v>
      </c>
    </row>
    <row r="10" customFormat="false" ht="15" hidden="false" customHeight="false" outlineLevel="0" collapsed="false">
      <c r="A10" s="6" t="n">
        <f aca="false">Raw_EUR!A10</f>
        <v>46210</v>
      </c>
      <c r="B10" s="7" t="n">
        <f aca="false">Raw_EUR!B10</f>
        <v>794833</v>
      </c>
      <c r="C10" s="7" t="n">
        <f aca="false">Raw_EUR!G10-Raw_EUR!H10</f>
        <v>-45461</v>
      </c>
      <c r="D10" s="7" t="n">
        <f aca="false">C10-C9</f>
        <v>-12817</v>
      </c>
      <c r="E10" s="8" t="n">
        <f aca="false">C10/B10</f>
        <v>-0.0571956624850755</v>
      </c>
      <c r="F10" s="7" t="n">
        <f aca="false">Raw_EUR!E10-Raw_EUR!F10</f>
        <v>253918</v>
      </c>
      <c r="G10" s="7" t="n">
        <f aca="false">F10-F9</f>
        <v>-1240</v>
      </c>
      <c r="H10" s="8" t="n">
        <f aca="false">F10/B10</f>
        <v>0.319460817555386</v>
      </c>
      <c r="I10" s="7" t="n">
        <f aca="false">Raw_EUR!C10-Raw_EUR!D10</f>
        <v>-246123</v>
      </c>
      <c r="J10" s="7" t="n">
        <f aca="false">I10-I9</f>
        <v>7342</v>
      </c>
      <c r="K10" s="8" t="n">
        <f aca="false">I10/B10</f>
        <v>-0.309653726002821</v>
      </c>
      <c r="L10" s="7" t="n">
        <f aca="false">Raw_EUR!I10-Raw_EUR!J10</f>
        <v>11415</v>
      </c>
      <c r="M10" s="7" t="n">
        <f aca="false">L10-L9</f>
        <v>4044</v>
      </c>
      <c r="N10" s="8" t="n">
        <f aca="false">L10/B10</f>
        <v>0.0143615073858282</v>
      </c>
      <c r="O10" s="7" t="n">
        <f aca="false">Raw_EUR!K10-Raw_EUR!L10</f>
        <v>26251</v>
      </c>
      <c r="P10" s="7" t="n">
        <f aca="false">O10-O9</f>
        <v>2671</v>
      </c>
      <c r="Q10" s="8" t="n">
        <f aca="false">O10/B10</f>
        <v>0.0330270635466821</v>
      </c>
    </row>
    <row r="11" customFormat="false" ht="15" hidden="false" customHeight="false" outlineLevel="0" collapsed="false">
      <c r="A11" s="6" t="n">
        <f aca="false">Raw_EUR!A11</f>
        <v>46217</v>
      </c>
      <c r="B11" s="7" t="n">
        <f aca="false">Raw_EUR!B11</f>
        <v>799495</v>
      </c>
      <c r="C11" s="7" t="n">
        <f aca="false">Raw_EUR!G11-Raw_EUR!H11</f>
        <v>-53691</v>
      </c>
      <c r="D11" s="7" t="n">
        <f aca="false">C11-C10</f>
        <v>-8230</v>
      </c>
      <c r="E11" s="8" t="n">
        <f aca="false">C11/B11</f>
        <v>-0.0671561423148362</v>
      </c>
      <c r="F11" s="7" t="n">
        <f aca="false">Raw_EUR!E11-Raw_EUR!F11</f>
        <v>247316</v>
      </c>
      <c r="G11" s="7" t="n">
        <f aca="false">F11-F10</f>
        <v>-6602</v>
      </c>
      <c r="H11" s="8" t="n">
        <f aca="false">F11/B11</f>
        <v>0.309340271046098</v>
      </c>
      <c r="I11" s="7" t="n">
        <f aca="false">Raw_EUR!C11-Raw_EUR!D11</f>
        <v>-232168</v>
      </c>
      <c r="J11" s="7" t="n">
        <f aca="false">I11-I10</f>
        <v>13955</v>
      </c>
      <c r="K11" s="8" t="n">
        <f aca="false">I11/B11</f>
        <v>-0.290393310777428</v>
      </c>
      <c r="L11" s="7" t="n">
        <f aca="false">Raw_EUR!I11-Raw_EUR!J11</f>
        <v>12548</v>
      </c>
      <c r="M11" s="7" t="n">
        <f aca="false">L11-L10</f>
        <v>1133</v>
      </c>
      <c r="N11" s="8" t="n">
        <f aca="false">L11/B11</f>
        <v>0.0156949074103028</v>
      </c>
      <c r="O11" s="7" t="n">
        <f aca="false">Raw_EUR!K11-Raw_EUR!L11</f>
        <v>25995</v>
      </c>
      <c r="P11" s="7" t="n">
        <f aca="false">O11-O10</f>
        <v>-256</v>
      </c>
      <c r="Q11" s="8" t="n">
        <f aca="false">O11/B11</f>
        <v>0.0325142746358639</v>
      </c>
    </row>
    <row r="12" customFormat="false" ht="15" hidden="false" customHeight="false" outlineLevel="0" collapsed="false">
      <c r="A12" s="6" t="n">
        <f aca="false">Raw_EUR!A12</f>
        <v>46224</v>
      </c>
      <c r="B12" s="7" t="n">
        <f aca="false">Raw_EUR!B12</f>
        <v>800061</v>
      </c>
      <c r="C12" s="7" t="n">
        <f aca="false">Raw_EUR!G12-Raw_EUR!H12</f>
        <v>-56671</v>
      </c>
      <c r="D12" s="7" t="n">
        <f aca="false">C12-C11</f>
        <v>-2980</v>
      </c>
      <c r="E12" s="8" t="n">
        <f aca="false">C12/B12</f>
        <v>-0.070833348957142</v>
      </c>
      <c r="F12" s="7" t="n">
        <f aca="false">Raw_EUR!E12-Raw_EUR!F12</f>
        <v>228927</v>
      </c>
      <c r="G12" s="7" t="n">
        <f aca="false">F12-F11</f>
        <v>-18389</v>
      </c>
      <c r="H12" s="8" t="n">
        <f aca="false">F12/B12</f>
        <v>0.286136932058931</v>
      </c>
      <c r="I12" s="7" t="n">
        <f aca="false">Raw_EUR!C12-Raw_EUR!D12</f>
        <v>-208219</v>
      </c>
      <c r="J12" s="7" t="n">
        <f aca="false">I12-I11</f>
        <v>23949</v>
      </c>
      <c r="K12" s="8" t="n">
        <f aca="false">I12/B12</f>
        <v>-0.260253905639695</v>
      </c>
      <c r="L12" s="7" t="n">
        <f aca="false">Raw_EUR!I12-Raw_EUR!J12</f>
        <v>12600</v>
      </c>
      <c r="M12" s="7" t="n">
        <f aca="false">L12-L11</f>
        <v>52</v>
      </c>
      <c r="N12" s="8" t="n">
        <f aca="false">L12/B12</f>
        <v>0.0157487991540645</v>
      </c>
      <c r="O12" s="7" t="n">
        <f aca="false">Raw_EUR!K12-Raw_EUR!L12</f>
        <v>23363</v>
      </c>
      <c r="P12" s="7" t="n">
        <f aca="false">O12-O11</f>
        <v>-2632</v>
      </c>
      <c r="Q12" s="8" t="n">
        <f aca="false">O12/B12</f>
        <v>0.029201523383842</v>
      </c>
    </row>
    <row r="13" customFormat="false" ht="15" hidden="false" customHeight="false" outlineLevel="0" collapsed="false">
      <c r="A13" s="6" t="n">
        <f aca="false">Raw_EUR!A13</f>
        <v>46231</v>
      </c>
      <c r="B13" s="7" t="n">
        <f aca="false">Raw_EUR!B13</f>
        <v>819806</v>
      </c>
      <c r="C13" s="7" t="n">
        <f aca="false">Raw_EUR!G13-Raw_EUR!H13</f>
        <v>-65198</v>
      </c>
      <c r="D13" s="7" t="n">
        <f aca="false">C13-C12</f>
        <v>-8527</v>
      </c>
      <c r="E13" s="8" t="n">
        <f aca="false">C13/B13</f>
        <v>-0.07952857139372</v>
      </c>
      <c r="F13" s="7" t="n">
        <f aca="false">Raw_EUR!E13-Raw_EUR!F13</f>
        <v>209326</v>
      </c>
      <c r="G13" s="7" t="n">
        <f aca="false">F13-F12</f>
        <v>-19601</v>
      </c>
      <c r="H13" s="8" t="n">
        <f aca="false">F13/B13</f>
        <v>0.255336018521455</v>
      </c>
      <c r="I13" s="7" t="n">
        <f aca="false">Raw_EUR!C13-Raw_EUR!D13</f>
        <v>-175516</v>
      </c>
      <c r="J13" s="7" t="n">
        <f aca="false">I13-I12</f>
        <v>32703</v>
      </c>
      <c r="K13" s="8" t="n">
        <f aca="false">I13/B13</f>
        <v>-0.214094554077428</v>
      </c>
      <c r="L13" s="7" t="n">
        <f aca="false">Raw_EUR!I13-Raw_EUR!J13</f>
        <v>10655</v>
      </c>
      <c r="M13" s="7" t="n">
        <f aca="false">L13-L12</f>
        <v>-1945</v>
      </c>
      <c r="N13" s="8" t="n">
        <f aca="false">L13/B13</f>
        <v>0.0129969773336619</v>
      </c>
      <c r="O13" s="7" t="n">
        <f aca="false">Raw_EUR!K13-Raw_EUR!L13</f>
        <v>20733</v>
      </c>
      <c r="P13" s="7" t="n">
        <f aca="false">O13-O12</f>
        <v>-2630</v>
      </c>
      <c r="Q13" s="8" t="n">
        <f aca="false">O13/B13</f>
        <v>0.0252901296160311</v>
      </c>
    </row>
    <row r="14" customFormat="false" ht="15" hidden="false" customHeight="false" outlineLevel="0" collapsed="false">
      <c r="A14" s="6" t="n">
        <f aca="false">Raw_EUR!A14</f>
        <v>46238</v>
      </c>
      <c r="B14" s="7" t="n">
        <f aca="false">Raw_EUR!B14</f>
        <v>799909</v>
      </c>
      <c r="C14" s="7" t="n">
        <f aca="false">Raw_EUR!G14-Raw_EUR!H14</f>
        <v>-52205</v>
      </c>
      <c r="D14" s="7" t="n">
        <f aca="false">C14-C13</f>
        <v>12993</v>
      </c>
      <c r="E14" s="8" t="n">
        <f aca="false">C14/B14</f>
        <v>-0.0652636737428883</v>
      </c>
      <c r="F14" s="7" t="n">
        <f aca="false">Raw_EUR!E14-Raw_EUR!F14</f>
        <v>219262</v>
      </c>
      <c r="G14" s="7" t="n">
        <f aca="false">F14-F13</f>
        <v>9936</v>
      </c>
      <c r="H14" s="8" t="n">
        <f aca="false">F14/B14</f>
        <v>0.274108679862334</v>
      </c>
      <c r="I14" s="7" t="n">
        <f aca="false">Raw_EUR!C14-Raw_EUR!D14</f>
        <v>-204478</v>
      </c>
      <c r="J14" s="7" t="n">
        <f aca="false">I14-I13</f>
        <v>-28962</v>
      </c>
      <c r="K14" s="8" t="n">
        <f aca="false">I14/B14</f>
        <v>-0.255626577523193</v>
      </c>
      <c r="L14" s="7" t="n">
        <f aca="false">Raw_EUR!I14-Raw_EUR!J14</f>
        <v>10792</v>
      </c>
      <c r="M14" s="7" t="n">
        <f aca="false">L14-L13</f>
        <v>137</v>
      </c>
      <c r="N14" s="8" t="n">
        <f aca="false">L14/B14</f>
        <v>0.0134915346620678</v>
      </c>
      <c r="O14" s="7" t="n">
        <f aca="false">Raw_EUR!K14-Raw_EUR!L14</f>
        <v>26629</v>
      </c>
      <c r="P14" s="7" t="n">
        <f aca="false">O14-O13</f>
        <v>5896</v>
      </c>
      <c r="Q14" s="8" t="n">
        <f aca="false">O14/B14</f>
        <v>0.0332900367416794</v>
      </c>
    </row>
    <row r="15" customFormat="false" ht="15" hidden="false" customHeight="false" outlineLevel="0" collapsed="false">
      <c r="A15" s="6" t="n">
        <f aca="false">Raw_EUR!A15</f>
        <v>46245</v>
      </c>
      <c r="B15" s="7" t="n">
        <f aca="false">Raw_EUR!B15</f>
        <v>801884</v>
      </c>
      <c r="C15" s="7" t="n">
        <f aca="false">Raw_EUR!G15-Raw_EUR!H15</f>
        <v>-60600</v>
      </c>
      <c r="D15" s="7" t="n">
        <f aca="false">C15-C14</f>
        <v>-8395</v>
      </c>
      <c r="E15" s="8" t="n">
        <f aca="false">C15/B15</f>
        <v>-0.0755720278743559</v>
      </c>
      <c r="F15" s="7" t="n">
        <f aca="false">Raw_EUR!E15-Raw_EUR!F15</f>
        <v>225389</v>
      </c>
      <c r="G15" s="7" t="n">
        <f aca="false">F15-F14</f>
        <v>6127</v>
      </c>
      <c r="H15" s="8" t="n">
        <f aca="false">F15/B15</f>
        <v>0.281074319976455</v>
      </c>
      <c r="I15" s="7" t="n">
        <f aca="false">Raw_EUR!C15-Raw_EUR!D15</f>
        <v>-206036</v>
      </c>
      <c r="J15" s="7" t="n">
        <f aca="false">I15-I14</f>
        <v>-1558</v>
      </c>
      <c r="K15" s="8" t="n">
        <f aca="false">I15/B15</f>
        <v>-0.256939906520145</v>
      </c>
      <c r="L15" s="7" t="n">
        <f aca="false">Raw_EUR!I15-Raw_EUR!J15</f>
        <v>10440</v>
      </c>
      <c r="M15" s="7" t="n">
        <f aca="false">L15-L14</f>
        <v>-352</v>
      </c>
      <c r="N15" s="8" t="n">
        <f aca="false">L15/B15</f>
        <v>0.0130193394555821</v>
      </c>
      <c r="O15" s="7" t="n">
        <f aca="false">Raw_EUR!K15-Raw_EUR!L15</f>
        <v>30807</v>
      </c>
      <c r="P15" s="7" t="n">
        <f aca="false">O15-O14</f>
        <v>4178</v>
      </c>
      <c r="Q15" s="8" t="n">
        <f aca="false">O15/B15</f>
        <v>0.0384182749624634</v>
      </c>
    </row>
    <row r="16" customFormat="false" ht="15" hidden="false" customHeight="false" outlineLevel="0" collapsed="false">
      <c r="A16" s="6" t="n">
        <f aca="false">Raw_EUR!A16</f>
        <v>46252</v>
      </c>
      <c r="B16" s="7" t="n">
        <f aca="false">Raw_EUR!B16</f>
        <v>804940</v>
      </c>
      <c r="C16" s="7" t="n">
        <f aca="false">Raw_EUR!G16-Raw_EUR!H16</f>
        <v>-57716</v>
      </c>
      <c r="D16" s="7" t="n">
        <f aca="false">C16-C15</f>
        <v>2884</v>
      </c>
      <c r="E16" s="8" t="n">
        <f aca="false">C16/B16</f>
        <v>-0.0717022386761746</v>
      </c>
      <c r="F16" s="7" t="n">
        <f aca="false">Raw_EUR!E16-Raw_EUR!F16</f>
        <v>237426</v>
      </c>
      <c r="G16" s="7" t="n">
        <f aca="false">F16-F15</f>
        <v>12037</v>
      </c>
      <c r="H16" s="8" t="n">
        <f aca="false">F16/B16</f>
        <v>0.29496111511417</v>
      </c>
      <c r="I16" s="7" t="n">
        <f aca="false">Raw_EUR!C16-Raw_EUR!D16</f>
        <v>-224272</v>
      </c>
      <c r="J16" s="7" t="n">
        <f aca="false">I16-I15</f>
        <v>-18236</v>
      </c>
      <c r="K16" s="8" t="n">
        <f aca="false">I16/B16</f>
        <v>-0.278619524436604</v>
      </c>
      <c r="L16" s="7" t="n">
        <f aca="false">Raw_EUR!I16-Raw_EUR!J16</f>
        <v>9529</v>
      </c>
      <c r="M16" s="7" t="n">
        <f aca="false">L16-L15</f>
        <v>-911</v>
      </c>
      <c r="N16" s="8" t="n">
        <f aca="false">L16/B16</f>
        <v>0.0118381494272865</v>
      </c>
      <c r="O16" s="7" t="n">
        <f aca="false">Raw_EUR!K16-Raw_EUR!L16</f>
        <v>35033</v>
      </c>
      <c r="P16" s="7" t="n">
        <f aca="false">O16-O15</f>
        <v>4226</v>
      </c>
      <c r="Q16" s="8" t="n">
        <f aca="false">O16/B16</f>
        <v>0.0435224985713221</v>
      </c>
    </row>
    <row r="17" customFormat="false" ht="15" hidden="false" customHeight="false" outlineLevel="0" collapsed="false">
      <c r="A17" s="6" t="n">
        <f aca="false">Raw_EUR!A17</f>
        <v>46259</v>
      </c>
      <c r="B17" s="7" t="n">
        <f aca="false">Raw_EUR!B17</f>
        <v>818524</v>
      </c>
      <c r="C17" s="7" t="n">
        <f aca="false">Raw_EUR!G17-Raw_EUR!H17</f>
        <v>-38359</v>
      </c>
      <c r="D17" s="7" t="n">
        <f aca="false">C17-C16</f>
        <v>19357</v>
      </c>
      <c r="E17" s="8" t="n">
        <f aca="false">C17/B17</f>
        <v>-0.0468636228137477</v>
      </c>
      <c r="F17" s="7" t="n">
        <f aca="false">Raw_EUR!E17-Raw_EUR!F17</f>
        <v>261426</v>
      </c>
      <c r="G17" s="7" t="n">
        <f aca="false">F17-F16</f>
        <v>24000</v>
      </c>
      <c r="H17" s="8" t="n">
        <f aca="false">F17/B17</f>
        <v>0.319387091887348</v>
      </c>
      <c r="I17" s="7" t="n">
        <f aca="false">Raw_EUR!C17-Raw_EUR!D17</f>
        <v>-268581</v>
      </c>
      <c r="J17" s="7" t="n">
        <f aca="false">I17-I16</f>
        <v>-44309</v>
      </c>
      <c r="K17" s="8" t="n">
        <f aca="false">I17/B17</f>
        <v>-0.328128436062962</v>
      </c>
      <c r="L17" s="7" t="n">
        <f aca="false">Raw_EUR!I17-Raw_EUR!J17</f>
        <v>9602</v>
      </c>
      <c r="M17" s="7" t="n">
        <f aca="false">L17-L16</f>
        <v>73</v>
      </c>
      <c r="N17" s="8" t="n">
        <f aca="false">L17/B17</f>
        <v>0.0117308716665608</v>
      </c>
      <c r="O17" s="7" t="n">
        <f aca="false">Raw_EUR!K17-Raw_EUR!L17</f>
        <v>35912</v>
      </c>
      <c r="P17" s="7" t="n">
        <f aca="false">O17-O16</f>
        <v>879</v>
      </c>
      <c r="Q17" s="8" t="n">
        <f aca="false">O17/B17</f>
        <v>0.0438740953228006</v>
      </c>
    </row>
    <row r="18" customFormat="false" ht="15" hidden="false" customHeight="false" outlineLevel="0" collapsed="false">
      <c r="A18" s="9" t="n">
        <f aca="false">Raw_EUR!A18</f>
        <v>46266</v>
      </c>
      <c r="B18" s="10" t="n">
        <f aca="false">Raw_EUR!B18</f>
        <v>865412</v>
      </c>
      <c r="C18" s="10" t="n">
        <f aca="false">Raw_EUR!G18-Raw_EUR!H18</f>
        <v>-38173</v>
      </c>
      <c r="D18" s="10" t="n">
        <f aca="false">C18-C17</f>
        <v>186</v>
      </c>
      <c r="E18" s="11" t="n">
        <f aca="false">C18/B18</f>
        <v>-0.0441096263976002</v>
      </c>
      <c r="F18" s="10" t="n">
        <f aca="false">Raw_EUR!E18-Raw_EUR!F18</f>
        <v>263253</v>
      </c>
      <c r="G18" s="10" t="n">
        <f aca="false">F18-F17</f>
        <v>1827</v>
      </c>
      <c r="H18" s="11" t="n">
        <f aca="false">F18/B18</f>
        <v>0.304193840621577</v>
      </c>
      <c r="I18" s="10" t="n">
        <f aca="false">Raw_EUR!C18-Raw_EUR!D18</f>
        <v>-267578</v>
      </c>
      <c r="J18" s="10" t="n">
        <f aca="false">I18-I17</f>
        <v>1003</v>
      </c>
      <c r="K18" s="11" t="n">
        <f aca="false">I18/B18</f>
        <v>-0.309191460252458</v>
      </c>
      <c r="L18" s="10" t="n">
        <f aca="false">Raw_EUR!I18-Raw_EUR!J18</f>
        <v>8846</v>
      </c>
      <c r="M18" s="10" t="n">
        <f aca="false">L18-L17</f>
        <v>-756</v>
      </c>
      <c r="N18" s="11" t="n">
        <f aca="false">L18/B18</f>
        <v>0.0102217209837626</v>
      </c>
      <c r="O18" s="10" t="n">
        <f aca="false">Raw_EUR!K18-Raw_EUR!L18</f>
        <v>33652</v>
      </c>
      <c r="P18" s="10" t="n">
        <f aca="false">O18-O17</f>
        <v>-2260</v>
      </c>
      <c r="Q18" s="11" t="n">
        <f aca="false">O18/B18</f>
        <v>0.0388855250447186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18"/>
  </cols>
  <sheetData>
    <row r="1" customFormat="false" ht="16.1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2" t="s">
        <v>36</v>
      </c>
    </row>
    <row r="4" customFormat="false" ht="42" hidden="false" customHeight="true" outlineLevel="0" collapsed="false">
      <c r="A4" s="3" t="s">
        <v>37</v>
      </c>
      <c r="B4" s="3" t="s">
        <v>38</v>
      </c>
      <c r="C4" s="3" t="s">
        <v>39</v>
      </c>
      <c r="D4" s="3" t="s">
        <v>40</v>
      </c>
      <c r="E4" s="3" t="s">
        <v>3</v>
      </c>
      <c r="F4" s="3" t="s">
        <v>4</v>
      </c>
      <c r="G4" s="3" t="s">
        <v>9</v>
      </c>
      <c r="H4" s="3" t="s">
        <v>10</v>
      </c>
    </row>
    <row r="5" customFormat="false" ht="15" hidden="false" customHeight="false" outlineLevel="0" collapsed="false">
      <c r="A5" s="12" t="s">
        <v>41</v>
      </c>
      <c r="B5" s="12" t="s">
        <v>42</v>
      </c>
      <c r="C5" s="12" t="s">
        <v>43</v>
      </c>
      <c r="D5" s="12" t="s">
        <v>44</v>
      </c>
      <c r="E5" s="4" t="n">
        <v>46259</v>
      </c>
      <c r="F5" s="5" t="n">
        <v>318468</v>
      </c>
      <c r="G5" s="5" t="n">
        <v>81286</v>
      </c>
      <c r="H5" s="5" t="n">
        <v>33377</v>
      </c>
    </row>
    <row r="6" customFormat="false" ht="15" hidden="false" customHeight="false" outlineLevel="0" collapsed="false">
      <c r="A6" s="12" t="s">
        <v>41</v>
      </c>
      <c r="B6" s="12" t="s">
        <v>42</v>
      </c>
      <c r="C6" s="12" t="s">
        <v>43</v>
      </c>
      <c r="D6" s="12" t="s">
        <v>44</v>
      </c>
      <c r="E6" s="4" t="n">
        <v>46266</v>
      </c>
      <c r="F6" s="5" t="n">
        <v>317961</v>
      </c>
      <c r="G6" s="5" t="n">
        <v>77117</v>
      </c>
      <c r="H6" s="5" t="n">
        <v>33950</v>
      </c>
    </row>
    <row r="7" customFormat="false" ht="15" hidden="false" customHeight="false" outlineLevel="0" collapsed="false">
      <c r="A7" s="12" t="s">
        <v>45</v>
      </c>
      <c r="B7" s="12" t="s">
        <v>46</v>
      </c>
      <c r="C7" s="12" t="s">
        <v>47</v>
      </c>
      <c r="D7" s="12" t="s">
        <v>48</v>
      </c>
      <c r="E7" s="4" t="n">
        <v>46259</v>
      </c>
      <c r="F7" s="5" t="n">
        <v>384216</v>
      </c>
      <c r="G7" s="5" t="n">
        <v>66528</v>
      </c>
      <c r="H7" s="5" t="n">
        <v>143570</v>
      </c>
    </row>
    <row r="8" customFormat="false" ht="15" hidden="false" customHeight="false" outlineLevel="0" collapsed="false">
      <c r="A8" s="12" t="s">
        <v>45</v>
      </c>
      <c r="B8" s="12" t="s">
        <v>46</v>
      </c>
      <c r="C8" s="12" t="s">
        <v>47</v>
      </c>
      <c r="D8" s="12" t="s">
        <v>48</v>
      </c>
      <c r="E8" s="4" t="n">
        <v>46266</v>
      </c>
      <c r="F8" s="5" t="n">
        <v>411882</v>
      </c>
      <c r="G8" s="5" t="n">
        <v>58529</v>
      </c>
      <c r="H8" s="5" t="n">
        <v>160717</v>
      </c>
    </row>
    <row r="9" customFormat="false" ht="15" hidden="false" customHeight="false" outlineLevel="0" collapsed="false">
      <c r="A9" s="12" t="s">
        <v>49</v>
      </c>
      <c r="B9" s="12" t="s">
        <v>50</v>
      </c>
      <c r="C9" s="12" t="s">
        <v>51</v>
      </c>
      <c r="D9" s="12" t="s">
        <v>52</v>
      </c>
      <c r="E9" s="4" t="n">
        <v>46259</v>
      </c>
      <c r="F9" s="5" t="n">
        <v>108923</v>
      </c>
      <c r="G9" s="5" t="n">
        <v>12353</v>
      </c>
      <c r="H9" s="5" t="n">
        <v>21178</v>
      </c>
    </row>
    <row r="10" customFormat="false" ht="15" hidden="false" customHeight="false" outlineLevel="0" collapsed="false">
      <c r="A10" s="12" t="s">
        <v>49</v>
      </c>
      <c r="B10" s="12" t="s">
        <v>50</v>
      </c>
      <c r="C10" s="12" t="s">
        <v>51</v>
      </c>
      <c r="D10" s="12" t="s">
        <v>52</v>
      </c>
      <c r="E10" s="4" t="n">
        <v>46266</v>
      </c>
      <c r="F10" s="5" t="n">
        <v>136962</v>
      </c>
      <c r="G10" s="5" t="n">
        <v>12305</v>
      </c>
      <c r="H10" s="5" t="n">
        <v>22603</v>
      </c>
    </row>
    <row r="11" customFormat="false" ht="15" hidden="false" customHeight="false" outlineLevel="0" collapsed="false">
      <c r="A11" s="12" t="s">
        <v>53</v>
      </c>
      <c r="B11" s="12" t="s">
        <v>54</v>
      </c>
      <c r="C11" s="12" t="s">
        <v>55</v>
      </c>
      <c r="D11" s="12" t="s">
        <v>56</v>
      </c>
      <c r="E11" s="4" t="n">
        <v>46259</v>
      </c>
      <c r="F11" s="5" t="n">
        <v>329544</v>
      </c>
      <c r="G11" s="5" t="n">
        <v>27384</v>
      </c>
      <c r="H11" s="5" t="n">
        <v>99476</v>
      </c>
    </row>
    <row r="12" customFormat="false" ht="15" hidden="false" customHeight="false" outlineLevel="0" collapsed="false">
      <c r="A12" s="12" t="s">
        <v>53</v>
      </c>
      <c r="B12" s="12" t="s">
        <v>54</v>
      </c>
      <c r="C12" s="12" t="s">
        <v>55</v>
      </c>
      <c r="D12" s="12" t="s">
        <v>56</v>
      </c>
      <c r="E12" s="4" t="n">
        <v>46266</v>
      </c>
      <c r="F12" s="5" t="n">
        <v>334800</v>
      </c>
      <c r="G12" s="5" t="n">
        <v>27845</v>
      </c>
      <c r="H12" s="5" t="n">
        <v>96595</v>
      </c>
    </row>
    <row r="13" customFormat="false" ht="15" hidden="false" customHeight="false" outlineLevel="0" collapsed="false">
      <c r="A13" s="12" t="s">
        <v>57</v>
      </c>
      <c r="B13" s="12" t="s">
        <v>58</v>
      </c>
      <c r="C13" s="12" t="s">
        <v>59</v>
      </c>
      <c r="D13" s="12" t="s">
        <v>60</v>
      </c>
      <c r="E13" s="4" t="n">
        <v>46259</v>
      </c>
      <c r="F13" s="5" t="n">
        <v>333906</v>
      </c>
      <c r="G13" s="5" t="n">
        <v>81344</v>
      </c>
      <c r="H13" s="5" t="n">
        <v>27283</v>
      </c>
    </row>
    <row r="14" customFormat="false" ht="15" hidden="false" customHeight="false" outlineLevel="0" collapsed="false">
      <c r="A14" s="12" t="s">
        <v>57</v>
      </c>
      <c r="B14" s="12" t="s">
        <v>58</v>
      </c>
      <c r="C14" s="12" t="s">
        <v>59</v>
      </c>
      <c r="D14" s="12" t="s">
        <v>60</v>
      </c>
      <c r="E14" s="4" t="n">
        <v>46266</v>
      </c>
      <c r="F14" s="5" t="n">
        <v>391678</v>
      </c>
      <c r="G14" s="5" t="n">
        <v>78498</v>
      </c>
      <c r="H14" s="5" t="n">
        <v>28836</v>
      </c>
    </row>
    <row r="15" customFormat="false" ht="15" hidden="false" customHeight="false" outlineLevel="0" collapsed="false">
      <c r="A15" s="12" t="s">
        <v>61</v>
      </c>
      <c r="B15" s="12" t="s">
        <v>62</v>
      </c>
      <c r="C15" s="12" t="s">
        <v>63</v>
      </c>
      <c r="D15" s="12" t="s">
        <v>64</v>
      </c>
      <c r="E15" s="4" t="n">
        <v>46259</v>
      </c>
      <c r="F15" s="5" t="n">
        <v>88964</v>
      </c>
      <c r="G15" s="5" t="n">
        <v>3673</v>
      </c>
      <c r="H15" s="5" t="n">
        <v>35667</v>
      </c>
    </row>
    <row r="16" customFormat="false" ht="15" hidden="false" customHeight="false" outlineLevel="0" collapsed="false">
      <c r="A16" s="12" t="s">
        <v>61</v>
      </c>
      <c r="B16" s="12" t="s">
        <v>62</v>
      </c>
      <c r="C16" s="12" t="s">
        <v>63</v>
      </c>
      <c r="D16" s="12" t="s">
        <v>64</v>
      </c>
      <c r="E16" s="4" t="n">
        <v>46266</v>
      </c>
      <c r="F16" s="5" t="n">
        <v>107274</v>
      </c>
      <c r="G16" s="5" t="n">
        <v>5216</v>
      </c>
      <c r="H16" s="5" t="n">
        <v>27554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7"/>
  </cols>
  <sheetData>
    <row r="1" customFormat="false" ht="16.1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3" customFormat="false" ht="15" hidden="false" customHeight="false" outlineLevel="0" collapsed="false">
      <c r="A3" s="2" t="s">
        <v>67</v>
      </c>
    </row>
    <row r="4" customFormat="false" ht="42" hidden="false" customHeight="true" outlineLevel="0" collapsed="false">
      <c r="A4" s="3" t="s">
        <v>37</v>
      </c>
      <c r="B4" s="3" t="s">
        <v>68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</row>
    <row r="5" customFormat="false" ht="15" hidden="false" customHeight="false" outlineLevel="0" collapsed="false">
      <c r="A5" s="13" t="s">
        <v>76</v>
      </c>
      <c r="B5" s="7" t="n">
        <f aca="false">Raw_EUR!G18</f>
        <v>96137</v>
      </c>
      <c r="C5" s="7" t="n">
        <f aca="false">Raw_EUR!H18</f>
        <v>134310</v>
      </c>
      <c r="D5" s="7" t="n">
        <f aca="false">B5-C5</f>
        <v>-38173</v>
      </c>
      <c r="E5" s="7" t="n">
        <f aca="false">Raw_EUR!G17-Raw_EUR!H17</f>
        <v>-38359</v>
      </c>
      <c r="F5" s="7" t="n">
        <f aca="false">D5-E5</f>
        <v>186</v>
      </c>
      <c r="G5" s="7" t="n">
        <f aca="false">Raw_EUR!B18</f>
        <v>865412</v>
      </c>
      <c r="H5" s="8" t="n">
        <f aca="false">D5/G5</f>
        <v>-0.0441096263976002</v>
      </c>
      <c r="I5" s="8" t="n">
        <f aca="false">E5/Raw_EUR!B17</f>
        <v>-0.0468636228137477</v>
      </c>
    </row>
    <row r="6" customFormat="false" ht="15" hidden="false" customHeight="false" outlineLevel="0" collapsed="false">
      <c r="A6" s="13" t="s">
        <v>77</v>
      </c>
      <c r="B6" s="7" t="n">
        <f aca="false">Raw_Other_FX!G6</f>
        <v>77117</v>
      </c>
      <c r="C6" s="7" t="n">
        <f aca="false">Raw_Other_FX!H6</f>
        <v>33950</v>
      </c>
      <c r="D6" s="7" t="n">
        <f aca="false">B6-C6</f>
        <v>43167</v>
      </c>
      <c r="E6" s="7" t="n">
        <f aca="false">Raw_Other_FX!G5-Raw_Other_FX!H5</f>
        <v>47909</v>
      </c>
      <c r="F6" s="7" t="n">
        <f aca="false">D6-E6</f>
        <v>-4742</v>
      </c>
      <c r="G6" s="7" t="n">
        <f aca="false">Raw_Other_FX!F6</f>
        <v>317961</v>
      </c>
      <c r="H6" s="8" t="n">
        <f aca="false">D6/G6</f>
        <v>0.135761933067263</v>
      </c>
      <c r="I6" s="8" t="n">
        <f aca="false">E6/Raw_Other_FX!F5</f>
        <v>0.150435836567567</v>
      </c>
    </row>
    <row r="7" customFormat="false" ht="15" hidden="false" customHeight="false" outlineLevel="0" collapsed="false">
      <c r="A7" s="13" t="s">
        <v>78</v>
      </c>
      <c r="B7" s="7" t="n">
        <f aca="false">Raw_Other_FX!G8</f>
        <v>58529</v>
      </c>
      <c r="C7" s="7" t="n">
        <f aca="false">Raw_Other_FX!H8</f>
        <v>160717</v>
      </c>
      <c r="D7" s="7" t="n">
        <f aca="false">B7-C7</f>
        <v>-102188</v>
      </c>
      <c r="E7" s="7" t="n">
        <f aca="false">Raw_Other_FX!G7-Raw_Other_FX!H7</f>
        <v>-77042</v>
      </c>
      <c r="F7" s="7" t="n">
        <f aca="false">D7-E7</f>
        <v>-25146</v>
      </c>
      <c r="G7" s="7" t="n">
        <f aca="false">Raw_Other_FX!F8</f>
        <v>411882</v>
      </c>
      <c r="H7" s="8" t="n">
        <f aca="false">D7/G7</f>
        <v>-0.248100184033291</v>
      </c>
      <c r="I7" s="8" t="n">
        <f aca="false">E7/Raw_Other_FX!F7</f>
        <v>-0.20051741728611</v>
      </c>
    </row>
    <row r="8" customFormat="false" ht="15" hidden="false" customHeight="false" outlineLevel="0" collapsed="false">
      <c r="A8" s="13" t="s">
        <v>79</v>
      </c>
      <c r="B8" s="7" t="n">
        <f aca="false">Raw_Other_FX!G10</f>
        <v>12305</v>
      </c>
      <c r="C8" s="7" t="n">
        <f aca="false">Raw_Other_FX!H10</f>
        <v>22603</v>
      </c>
      <c r="D8" s="7" t="n">
        <f aca="false">B8-C8</f>
        <v>-10298</v>
      </c>
      <c r="E8" s="7" t="n">
        <f aca="false">Raw_Other_FX!G9-Raw_Other_FX!H9</f>
        <v>-8825</v>
      </c>
      <c r="F8" s="7" t="n">
        <f aca="false">D8-E8</f>
        <v>-1473</v>
      </c>
      <c r="G8" s="7" t="n">
        <f aca="false">Raw_Other_FX!F10</f>
        <v>136962</v>
      </c>
      <c r="H8" s="8" t="n">
        <f aca="false">D8/G8</f>
        <v>-0.0751887384822067</v>
      </c>
      <c r="I8" s="8" t="n">
        <f aca="false">E8/Raw_Other_FX!F9</f>
        <v>-0.0810205374438824</v>
      </c>
    </row>
    <row r="9" customFormat="false" ht="15" hidden="false" customHeight="false" outlineLevel="0" collapsed="false">
      <c r="A9" s="13" t="s">
        <v>80</v>
      </c>
      <c r="B9" s="7" t="n">
        <f aca="false">Raw_Other_FX!G12</f>
        <v>27845</v>
      </c>
      <c r="C9" s="7" t="n">
        <f aca="false">Raw_Other_FX!H12</f>
        <v>96595</v>
      </c>
      <c r="D9" s="7" t="n">
        <f aca="false">B9-C9</f>
        <v>-68750</v>
      </c>
      <c r="E9" s="7" t="n">
        <f aca="false">Raw_Other_FX!G11-Raw_Other_FX!H11</f>
        <v>-72092</v>
      </c>
      <c r="F9" s="7" t="n">
        <f aca="false">D9-E9</f>
        <v>3342</v>
      </c>
      <c r="G9" s="7" t="n">
        <f aca="false">Raw_Other_FX!F12</f>
        <v>334800</v>
      </c>
      <c r="H9" s="8" t="n">
        <f aca="false">D9/G9</f>
        <v>-0.205346475507766</v>
      </c>
      <c r="I9" s="8" t="n">
        <f aca="false">E9/Raw_Other_FX!F11</f>
        <v>-0.218762896608647</v>
      </c>
    </row>
    <row r="10" customFormat="false" ht="15" hidden="false" customHeight="false" outlineLevel="0" collapsed="false">
      <c r="A10" s="13" t="s">
        <v>81</v>
      </c>
      <c r="B10" s="7" t="n">
        <f aca="false">Raw_Other_FX!G14</f>
        <v>78498</v>
      </c>
      <c r="C10" s="7" t="n">
        <f aca="false">Raw_Other_FX!H14</f>
        <v>28836</v>
      </c>
      <c r="D10" s="7" t="n">
        <f aca="false">B10-C10</f>
        <v>49662</v>
      </c>
      <c r="E10" s="7" t="n">
        <f aca="false">Raw_Other_FX!G13-Raw_Other_FX!H13</f>
        <v>54061</v>
      </c>
      <c r="F10" s="7" t="n">
        <f aca="false">D10-E10</f>
        <v>-4399</v>
      </c>
      <c r="G10" s="7" t="n">
        <f aca="false">Raw_Other_FX!F14</f>
        <v>391678</v>
      </c>
      <c r="H10" s="8" t="n">
        <f aca="false">D10/G10</f>
        <v>0.126792926842968</v>
      </c>
      <c r="I10" s="8" t="n">
        <f aca="false">E10/Raw_Other_FX!F13</f>
        <v>0.161904847472043</v>
      </c>
    </row>
    <row r="11" customFormat="false" ht="15" hidden="false" customHeight="false" outlineLevel="0" collapsed="false">
      <c r="A11" s="13" t="s">
        <v>82</v>
      </c>
      <c r="B11" s="7" t="n">
        <f aca="false">Raw_Other_FX!G16</f>
        <v>5216</v>
      </c>
      <c r="C11" s="7" t="n">
        <f aca="false">Raw_Other_FX!H16</f>
        <v>27554</v>
      </c>
      <c r="D11" s="7" t="n">
        <f aca="false">B11-C11</f>
        <v>-22338</v>
      </c>
      <c r="E11" s="7" t="n">
        <f aca="false">Raw_Other_FX!G15-Raw_Other_FX!H15</f>
        <v>-31994</v>
      </c>
      <c r="F11" s="7" t="n">
        <f aca="false">D11-E11</f>
        <v>9656</v>
      </c>
      <c r="G11" s="7" t="n">
        <f aca="false">Raw_Other_FX!F16</f>
        <v>107274</v>
      </c>
      <c r="H11" s="8" t="n">
        <f aca="false">D11/G11</f>
        <v>-0.208233122657867</v>
      </c>
      <c r="I11" s="8" t="n">
        <f aca="false">E11/Raw_Other_FX!F15</f>
        <v>-0.359628613821321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0"/>
  </cols>
  <sheetData>
    <row r="1" customFormat="false" ht="16.1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16</v>
      </c>
    </row>
    <row r="3" customFormat="false" ht="15" hidden="false" customHeight="false" outlineLevel="0" collapsed="false">
      <c r="A3" s="2" t="s">
        <v>84</v>
      </c>
    </row>
    <row r="5" customFormat="false" ht="42" hidden="false" customHeight="true" outlineLevel="0" collapsed="false">
      <c r="A5" s="3" t="s">
        <v>85</v>
      </c>
      <c r="B5" s="3" t="s">
        <v>86</v>
      </c>
      <c r="C5" s="3" t="s">
        <v>87</v>
      </c>
      <c r="D5" s="3" t="s">
        <v>88</v>
      </c>
    </row>
    <row r="6" customFormat="false" ht="15" hidden="false" customHeight="false" outlineLevel="0" collapsed="false">
      <c r="A6" s="14" t="s">
        <v>89</v>
      </c>
      <c r="B6" s="7" t="n">
        <f aca="false">Raw_EUR!G17</f>
        <v>90921</v>
      </c>
      <c r="C6" s="7" t="n">
        <f aca="false">Raw_EUR!G18</f>
        <v>96137</v>
      </c>
      <c r="D6" s="7" t="n">
        <f aca="false">C6-B6</f>
        <v>5216</v>
      </c>
    </row>
    <row r="7" customFormat="false" ht="15" hidden="false" customHeight="false" outlineLevel="0" collapsed="false">
      <c r="A7" s="14" t="s">
        <v>90</v>
      </c>
      <c r="B7" s="7" t="n">
        <f aca="false">Raw_EUR!H17</f>
        <v>129280</v>
      </c>
      <c r="C7" s="7" t="n">
        <f aca="false">Raw_EUR!H18</f>
        <v>134310</v>
      </c>
      <c r="D7" s="7" t="n">
        <f aca="false">C7-B7</f>
        <v>5030</v>
      </c>
    </row>
    <row r="8" customFormat="false" ht="15" hidden="false" customHeight="false" outlineLevel="0" collapsed="false">
      <c r="A8" s="14" t="s">
        <v>91</v>
      </c>
      <c r="B8" s="7" t="n">
        <f aca="false">Net_EUR!C17</f>
        <v>-38359</v>
      </c>
      <c r="C8" s="7" t="n">
        <f aca="false">Net_EUR!C18</f>
        <v>-38173</v>
      </c>
      <c r="D8" s="7" t="n">
        <f aca="false">C8-B8</f>
        <v>186</v>
      </c>
    </row>
    <row r="9" customFormat="false" ht="15" hidden="false" customHeight="false" outlineLevel="0" collapsed="false">
      <c r="A9" s="14" t="s">
        <v>4</v>
      </c>
      <c r="B9" s="7" t="n">
        <f aca="false">Raw_EUR!B17</f>
        <v>818524</v>
      </c>
      <c r="C9" s="7" t="n">
        <f aca="false">Raw_EUR!B18</f>
        <v>865412</v>
      </c>
      <c r="D9" s="7" t="n">
        <f aca="false">C9-B9</f>
        <v>46888</v>
      </c>
    </row>
    <row r="10" customFormat="false" ht="15" hidden="false" customHeight="false" outlineLevel="0" collapsed="false">
      <c r="A10" s="14" t="s">
        <v>92</v>
      </c>
      <c r="B10" s="8" t="n">
        <f aca="false">Net_EUR!E17</f>
        <v>-0.0468636228137477</v>
      </c>
      <c r="C10" s="8" t="n">
        <f aca="false">Net_EUR!E18</f>
        <v>-0.0441096263976002</v>
      </c>
      <c r="D10" s="15" t="n">
        <f aca="false">C10-B10</f>
        <v>0.00275399641614746</v>
      </c>
    </row>
    <row r="12" customFormat="false" ht="15" hidden="false" customHeight="false" outlineLevel="0" collapsed="false">
      <c r="A12" s="14" t="s">
        <v>93</v>
      </c>
    </row>
    <row r="13" customFormat="false" ht="42" hidden="false" customHeight="true" outlineLevel="0" collapsed="false">
      <c r="A13" s="3" t="s">
        <v>94</v>
      </c>
      <c r="B13" s="3" t="s">
        <v>86</v>
      </c>
      <c r="C13" s="3" t="s">
        <v>87</v>
      </c>
      <c r="D13" s="3" t="s">
        <v>88</v>
      </c>
    </row>
    <row r="14" customFormat="false" ht="15" hidden="false" customHeight="false" outlineLevel="0" collapsed="false">
      <c r="A14" s="14" t="s">
        <v>95</v>
      </c>
      <c r="B14" s="7" t="n">
        <f aca="false">Net_EUR!C17</f>
        <v>-38359</v>
      </c>
      <c r="C14" s="7" t="n">
        <f aca="false">Net_EUR!C18</f>
        <v>-38173</v>
      </c>
      <c r="D14" s="7" t="n">
        <f aca="false">C14-B14</f>
        <v>186</v>
      </c>
    </row>
    <row r="15" customFormat="false" ht="15" hidden="false" customHeight="false" outlineLevel="0" collapsed="false">
      <c r="A15" s="14" t="s">
        <v>96</v>
      </c>
      <c r="B15" s="7" t="n">
        <f aca="false">Net_EUR!F17</f>
        <v>261426</v>
      </c>
      <c r="C15" s="7" t="n">
        <f aca="false">Net_EUR!F18</f>
        <v>263253</v>
      </c>
      <c r="D15" s="7" t="n">
        <f aca="false">C15-B15</f>
        <v>1827</v>
      </c>
    </row>
    <row r="16" customFormat="false" ht="15" hidden="false" customHeight="false" outlineLevel="0" collapsed="false">
      <c r="A16" s="14" t="s">
        <v>97</v>
      </c>
      <c r="B16" s="7" t="n">
        <f aca="false">Net_EUR!I17</f>
        <v>-268581</v>
      </c>
      <c r="C16" s="7" t="n">
        <f aca="false">Net_EUR!I18</f>
        <v>-267578</v>
      </c>
      <c r="D16" s="7" t="n">
        <f aca="false">C16-B16</f>
        <v>1003</v>
      </c>
    </row>
    <row r="17" customFormat="false" ht="15" hidden="false" customHeight="false" outlineLevel="0" collapsed="false">
      <c r="A17" s="14" t="s">
        <v>98</v>
      </c>
      <c r="B17" s="7" t="n">
        <f aca="false">Net_EUR!L17</f>
        <v>9602</v>
      </c>
      <c r="C17" s="7" t="n">
        <f aca="false">Net_EUR!L18</f>
        <v>8846</v>
      </c>
      <c r="D17" s="7" t="n">
        <f aca="false">C17-B17</f>
        <v>-756</v>
      </c>
    </row>
    <row r="18" customFormat="false" ht="15" hidden="false" customHeight="false" outlineLevel="0" collapsed="false">
      <c r="A18" s="14" t="s">
        <v>99</v>
      </c>
      <c r="B18" s="7" t="n">
        <f aca="false">Net_EUR!O17</f>
        <v>35912</v>
      </c>
      <c r="C18" s="7" t="n">
        <f aca="false">Net_EUR!O18</f>
        <v>33652</v>
      </c>
      <c r="D18" s="7" t="n">
        <f aca="false">C18-B18</f>
        <v>-2260</v>
      </c>
    </row>
    <row r="20" customFormat="false" ht="15" hidden="false" customHeight="false" outlineLevel="0" collapsed="false">
      <c r="A20" s="14" t="s">
        <v>100</v>
      </c>
    </row>
    <row r="21" customFormat="false" ht="15" hidden="false" customHeight="false" outlineLevel="0" collapsed="false">
      <c r="A21" s="12" t="s">
        <v>101</v>
      </c>
      <c r="B21" s="7" t="n">
        <f aca="false">MIN(Net_EUR!C6:C18)</f>
        <v>-65198</v>
      </c>
    </row>
    <row r="22" customFormat="false" ht="15" hidden="false" customHeight="false" outlineLevel="0" collapsed="false">
      <c r="A22" s="12" t="s">
        <v>102</v>
      </c>
      <c r="B22" s="7" t="n">
        <f aca="false">MAX(Net_EUR!C6:C18)</f>
        <v>-8926</v>
      </c>
    </row>
    <row r="23" customFormat="false" ht="15" hidden="false" customHeight="false" outlineLevel="0" collapsed="false">
      <c r="A23" s="12" t="s">
        <v>103</v>
      </c>
      <c r="B23" s="7" t="n">
        <f aca="false">AVERAGE(Net_EUR!C6:C18)</f>
        <v>-41726.3076923077</v>
      </c>
    </row>
    <row r="24" customFormat="false" ht="15" hidden="false" customHeight="false" outlineLevel="0" collapsed="false">
      <c r="A24" s="12" t="s">
        <v>104</v>
      </c>
      <c r="B24" s="7" t="n">
        <f aca="false">C8-B21</f>
        <v>27025</v>
      </c>
    </row>
    <row r="26" customFormat="false" ht="15" hidden="false" customHeight="false" outlineLevel="0" collapsed="false">
      <c r="A26" s="14" t="s">
        <v>105</v>
      </c>
    </row>
    <row r="27" customFormat="false" ht="15" hidden="false" customHeight="false" outlineLevel="0" collapsed="false">
      <c r="A27" s="12" t="s">
        <v>106</v>
      </c>
    </row>
    <row r="28" customFormat="false" ht="15" hidden="false" customHeight="false" outlineLevel="0" collapsed="false">
      <c r="A28" s="12" t="s">
        <v>107</v>
      </c>
    </row>
    <row r="29" customFormat="false" ht="15" hidden="false" customHeight="false" outlineLevel="0" collapsed="false">
      <c r="A29" s="12" t="s">
        <v>108</v>
      </c>
    </row>
    <row r="30" customFormat="false" ht="15" hidden="false" customHeight="false" outlineLevel="0" collapsed="false">
      <c r="A30" s="1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95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16" t="s">
        <v>112</v>
      </c>
      <c r="B4" s="16" t="s">
        <v>113</v>
      </c>
      <c r="C4" s="16" t="s">
        <v>114</v>
      </c>
    </row>
    <row r="5" customFormat="false" ht="35.05" hidden="false" customHeight="false" outlineLevel="0" collapsed="false">
      <c r="A5" s="17" t="s">
        <v>115</v>
      </c>
      <c r="B5" s="17" t="s">
        <v>116</v>
      </c>
      <c r="C5" s="17" t="s">
        <v>117</v>
      </c>
    </row>
    <row r="6" customFormat="false" ht="15" hidden="false" customHeight="false" outlineLevel="0" collapsed="false">
      <c r="A6" s="17" t="s">
        <v>118</v>
      </c>
      <c r="B6" s="17" t="s">
        <v>119</v>
      </c>
      <c r="C6" s="17" t="s">
        <v>117</v>
      </c>
    </row>
    <row r="7" customFormat="false" ht="23.85" hidden="false" customHeight="false" outlineLevel="0" collapsed="false">
      <c r="A7" s="17" t="s">
        <v>120</v>
      </c>
      <c r="B7" s="17" t="s">
        <v>121</v>
      </c>
      <c r="C7" s="17" t="s">
        <v>117</v>
      </c>
    </row>
    <row r="10" customFormat="false" ht="15" hidden="false" customHeight="false" outlineLevel="0" collapsed="false">
      <c r="A10" s="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2026-10-19T16:05:38Z</dcterms:created>
  <dc:creator>Farrel Christian</dc:creator>
  <dc:description/>
  <dc:language>en-US</dc:language>
  <cp:lastModifiedBy/>
  <dcterms:modified xsi:type="dcterms:W3CDTF">2026-10-19T16:05:38Z</dcterms:modified>
  <cp:revision>0</cp:revision>
  <dc:subject/>
  <dc:title>Weekly positioning, Saturday 5 September 2026: raw data and calculations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